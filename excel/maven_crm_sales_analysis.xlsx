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2739db8a126e9c/Documents/"/>
    </mc:Choice>
  </mc:AlternateContent>
  <xr:revisionPtr revIDLastSave="10" documentId="8_{8A7B96D1-7AC7-4F15-8CD1-1DB99C1485CC}" xr6:coauthVersionLast="47" xr6:coauthVersionMax="47" xr10:uidLastSave="{AFB2271A-BFCA-428A-9D81-AFB83DDCCA50}"/>
  <bookViews>
    <workbookView xWindow="-120" yWindow="-120" windowWidth="20730" windowHeight="11040" firstSheet="2" activeTab="4" xr2:uid="{4BEF84B3-9C47-472F-942E-A8B8685DAE71}"/>
  </bookViews>
  <sheets>
    <sheet name="Product Performance" sheetId="2" r:id="rId1"/>
    <sheet name="Sales Agents Performance" sheetId="3" r:id="rId2"/>
    <sheet name="Regional Performance" sheetId="4" r:id="rId3"/>
    <sheet name="Account Performance" sheetId="5" r:id="rId4"/>
    <sheet name="Overall sales outcomes" sheetId="7" r:id="rId5"/>
  </sheets>
  <calcPr calcId="191029"/>
  <pivotCaches>
    <pivotCache cacheId="0" r:id="rId6"/>
    <pivotCache cacheId="1" r:id="rId7"/>
    <pivotCache cacheId="2" r:id="rId8"/>
    <pivotCache cacheId="5" r:id="rId9"/>
    <pivotCache cacheId="6" r:id="rId10"/>
    <pivotCache cacheId="10" r:id="rId11"/>
    <pivotCache cacheId="11" r:id="rId12"/>
    <pivotCache cacheId="22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pipeline_clean_0ab8bb91-0c59-4747-aa8b-fd4c0f164288" name="sales_pipeline_clean" connection="Query - sales_pipeline_clean"/>
          <x15:modelTable id="accounts_6de4fe2c-e32e-4d9e-a4cc-23e76145060e" name="accounts" connection="Query - accounts"/>
          <x15:modelTable id="sales_teams_894ab48f-d144-4d85-b1e9-e995254fc7cc" name="sales_teams" connection="Query - sales_teams"/>
          <x15:modelTable id="products_5f3e9a79-b709-45d9-be44-d47f3189c247" name="products" connection="Query - products"/>
        </x15:modelTables>
        <x15:modelRelationships>
          <x15:modelRelationship fromTable="sales_pipeline_clean" fromColumn="account" toTable="accounts" toColumn="account"/>
          <x15:modelRelationship fromTable="sales_pipeline_clean" fromColumn="sales_agent" toTable="sales_teams" toColumn="sales_agent"/>
          <x15:modelRelationship fromTable="sales_pipeline_clean" fromColumn="product" toTable="products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7" l="1"/>
  <c r="C30" i="7"/>
  <c r="C32" i="7" l="1"/>
  <c r="D32" i="7" s="1"/>
  <c r="D30" i="7" l="1"/>
  <c r="D3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0DEB4-F05E-4140-9DDB-6C02CD191527}" name="Query - accounts" description="Connection to the 'accounts' query in the workbook." type="100" refreshedVersion="8" minRefreshableVersion="5">
    <extLst>
      <ext xmlns:x15="http://schemas.microsoft.com/office/spreadsheetml/2010/11/main" uri="{DE250136-89BD-433C-8126-D09CA5730AF9}">
        <x15:connection id="04999408-e269-498c-9d7d-bfac1644cfbb"/>
      </ext>
    </extLst>
  </connection>
  <connection id="2" xr16:uid="{C03C6E4F-D2B9-43BF-8ABC-592D07692394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d161037-67b7-4ceb-8a20-11e7ea6b8edf"/>
      </ext>
    </extLst>
  </connection>
  <connection id="3" xr16:uid="{E7842204-5B6E-410F-803F-4DA89ECC978E}" name="Query - sales_pipeline_clean" description="Connection to the 'sales_pipeline_clean' query in the workbook." type="100" refreshedVersion="8" minRefreshableVersion="5">
    <extLst>
      <ext xmlns:x15="http://schemas.microsoft.com/office/spreadsheetml/2010/11/main" uri="{DE250136-89BD-433C-8126-D09CA5730AF9}">
        <x15:connection id="466c254c-e092-40ac-9813-b3cb7e5ed8f0"/>
      </ext>
    </extLst>
  </connection>
  <connection id="4" xr16:uid="{0921432E-54E2-4D82-9947-94F40E5EA9F0}" name="Query - sales_teams" description="Connection to the 'sales_teams' query in the workbook." type="100" refreshedVersion="8" minRefreshableVersion="5">
    <extLst>
      <ext xmlns:x15="http://schemas.microsoft.com/office/spreadsheetml/2010/11/main" uri="{DE250136-89BD-433C-8126-D09CA5730AF9}">
        <x15:connection id="ab1a7f05-0541-4c7d-a51a-fc65a326a3e3"/>
      </ext>
    </extLst>
  </connection>
  <connection id="5" xr16:uid="{4F7A39C9-2B91-464C-8C98-6438F0BE6A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<sst xmlns="http://schemas.openxmlformats.org/spreadsheetml/2006/main" count="229" uniqueCount="153">
  <si>
    <t>deal_stage</t>
  </si>
  <si>
    <t>Engaging</t>
  </si>
  <si>
    <t>Lost</t>
  </si>
  <si>
    <t>Prospecting</t>
  </si>
  <si>
    <t>Won</t>
  </si>
  <si>
    <t>Grand Total</t>
  </si>
  <si>
    <t>Count of opportunity_id</t>
  </si>
  <si>
    <t>product</t>
  </si>
  <si>
    <t>GTK 500</t>
  </si>
  <si>
    <t>GTX Basic</t>
  </si>
  <si>
    <t>GTX Plus Basic</t>
  </si>
  <si>
    <t>GTX Plus Pro</t>
  </si>
  <si>
    <t>GTX Pro</t>
  </si>
  <si>
    <t>MG Advanced</t>
  </si>
  <si>
    <t>MG Special</t>
  </si>
  <si>
    <t>Win Rate</t>
  </si>
  <si>
    <t>Won Opportunities</t>
  </si>
  <si>
    <t>Completed Opportunities</t>
  </si>
  <si>
    <t>Avg Won Value</t>
  </si>
  <si>
    <t>Product Performance</t>
  </si>
  <si>
    <t>sales_agent</t>
  </si>
  <si>
    <t>Anna Snelling</t>
  </si>
  <si>
    <t>Boris Faz</t>
  </si>
  <si>
    <t>Cassey Cress</t>
  </si>
  <si>
    <t>Cecily Lampkin</t>
  </si>
  <si>
    <t>Corliss Cosme</t>
  </si>
  <si>
    <t>Daniell Hammack</t>
  </si>
  <si>
    <t>Darcel Schlecht</t>
  </si>
  <si>
    <t>Donn Cantrell</t>
  </si>
  <si>
    <t>Elease Gluck</t>
  </si>
  <si>
    <t>Garret Kinder</t>
  </si>
  <si>
    <t>Gladys Colclough</t>
  </si>
  <si>
    <t>Hayden Neloms</t>
  </si>
  <si>
    <t>James Ascencio</t>
  </si>
  <si>
    <t>Jonathan Berthelot</t>
  </si>
  <si>
    <t>Kami Bicknell</t>
  </si>
  <si>
    <t>Kary Hendrixson</t>
  </si>
  <si>
    <t>Lajuana Vencill</t>
  </si>
  <si>
    <t>Markita Hansen</t>
  </si>
  <si>
    <t>Marty Freudenburg</t>
  </si>
  <si>
    <t>Maureen Marcano</t>
  </si>
  <si>
    <t>Moses Frase</t>
  </si>
  <si>
    <t>Niesha Huffines</t>
  </si>
  <si>
    <t>Reed Clapper</t>
  </si>
  <si>
    <t>Rosalina Dieter</t>
  </si>
  <si>
    <t>Rosie Papadopoulos</t>
  </si>
  <si>
    <t>Versie Hillebrand</t>
  </si>
  <si>
    <t>Vicki Laflamme</t>
  </si>
  <si>
    <t>Violet Mclelland</t>
  </si>
  <si>
    <t>Wilburn Farren</t>
  </si>
  <si>
    <t>Zane Levy</t>
  </si>
  <si>
    <t>Won Revenue</t>
  </si>
  <si>
    <t xml:space="preserve"> </t>
  </si>
  <si>
    <t>regional_office</t>
  </si>
  <si>
    <t>Central</t>
  </si>
  <si>
    <t>East</t>
  </si>
  <si>
    <t>West</t>
  </si>
  <si>
    <t>Regional Office Performance</t>
  </si>
  <si>
    <t>account</t>
  </si>
  <si>
    <t>Acme Corporation</t>
  </si>
  <si>
    <t>Betasoloin</t>
  </si>
  <si>
    <t>Betatech</t>
  </si>
  <si>
    <t>Bioholding</t>
  </si>
  <si>
    <t>Bioplex</t>
  </si>
  <si>
    <t>Blackzim</t>
  </si>
  <si>
    <t>Bluth Company</t>
  </si>
  <si>
    <t>Bubba Gump</t>
  </si>
  <si>
    <t>Cancity</t>
  </si>
  <si>
    <t>Cheers</t>
  </si>
  <si>
    <t>Codehow</t>
  </si>
  <si>
    <t>Condax</t>
  </si>
  <si>
    <t>Conecom</t>
  </si>
  <si>
    <t>Dalttechnology</t>
  </si>
  <si>
    <t>dambase</t>
  </si>
  <si>
    <t>Domzoom</t>
  </si>
  <si>
    <t>Doncon</t>
  </si>
  <si>
    <t>Donquadtech</t>
  </si>
  <si>
    <t>Dontechi</t>
  </si>
  <si>
    <t>Donware</t>
  </si>
  <si>
    <t>Fasehatice</t>
  </si>
  <si>
    <t>Faxquote</t>
  </si>
  <si>
    <t>Finhigh</t>
  </si>
  <si>
    <t>Finjob</t>
  </si>
  <si>
    <t>Funholding</t>
  </si>
  <si>
    <t>Ganjaflex</t>
  </si>
  <si>
    <t>Gekko &amp; Co</t>
  </si>
  <si>
    <t>Genco Pura Olive Oil Company</t>
  </si>
  <si>
    <t>Globex Corporation</t>
  </si>
  <si>
    <t>Gogozoom</t>
  </si>
  <si>
    <t>Golddex</t>
  </si>
  <si>
    <t>Goodsilron</t>
  </si>
  <si>
    <t>Green-Plus</t>
  </si>
  <si>
    <t>Groovestreet</t>
  </si>
  <si>
    <t>Hatfan</t>
  </si>
  <si>
    <t>Hottechi</t>
  </si>
  <si>
    <t>Initech</t>
  </si>
  <si>
    <t>Inity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</si>
  <si>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</si>
  <si>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</si>
  <si>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</si>
  <si>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</si>
  <si>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</si>
  <si>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</si>
  <si>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</si>
  <si>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</si>
  <si>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</si>
  <si>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Massive Dynamic</t>
  </si>
  <si>
    <t>Mathtouch</t>
  </si>
  <si>
    <t>Nam-zim</t>
  </si>
  <si>
    <t>Newex</t>
  </si>
  <si>
    <t>Ontomedia</t>
  </si>
  <si>
    <t>Opentech</t>
  </si>
  <si>
    <t>Plexzap</t>
  </si>
  <si>
    <t>Plusstrip</t>
  </si>
  <si>
    <t>Plussunin</t>
  </si>
  <si>
    <t>Rangreen</t>
  </si>
  <si>
    <t>Rantouch</t>
  </si>
  <si>
    <t>Ron-tech</t>
  </si>
  <si>
    <t>Rundofase</t>
  </si>
  <si>
    <t>Scotfind</t>
  </si>
  <si>
    <t>Scottech</t>
  </si>
  <si>
    <t>Silis</t>
  </si>
  <si>
    <t>Singletechno</t>
  </si>
  <si>
    <t>Sonron</t>
  </si>
  <si>
    <t>Stanredtax</t>
  </si>
  <si>
    <t>Statholdings</t>
  </si>
  <si>
    <t>Streethex</t>
  </si>
  <si>
    <t>Sumace</t>
  </si>
  <si>
    <t>Sunnamplex</t>
  </si>
  <si>
    <t>The New York Inquirer</t>
  </si>
  <si>
    <t>Toughzap</t>
  </si>
  <si>
    <t>Treequote</t>
  </si>
  <si>
    <t>Umbrella Corporation</t>
  </si>
  <si>
    <t>Vehement Capital Partners</t>
  </si>
  <si>
    <t>Warephase</t>
  </si>
  <si>
    <t>Xx-holding</t>
  </si>
  <si>
    <t>Xx-zobam</t>
  </si>
  <si>
    <t>Y-corporation</t>
  </si>
  <si>
    <t>Yearin</t>
  </si>
  <si>
    <t>Zathunicon</t>
  </si>
  <si>
    <t>Zencorporation</t>
  </si>
  <si>
    <t>Zoomit</t>
  </si>
  <si>
    <t>Zotware</t>
  </si>
  <si>
    <t>Zumgoity</t>
  </si>
  <si>
    <t>Lost Opportunities</t>
  </si>
  <si>
    <t>Count of opportunity_id2</t>
  </si>
  <si>
    <t>Open Opportunities</t>
  </si>
  <si>
    <t>Count of Opportunities</t>
  </si>
  <si>
    <t>Rate</t>
  </si>
  <si>
    <t>Helper Table:</t>
  </si>
  <si>
    <t>Overall sales outcomes</t>
  </si>
  <si>
    <t>Top 10 Sales Agents by Won Revenue</t>
  </si>
  <si>
    <t>Top 10 Accounts by Won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</si>
</sst>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;\-0.00%;0.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pivotButton="1"/>
    <xf numFmtId="4" fontId="0" fillId="0" borderId="0" xfId="0" applyNumberFormat="1"/>
    <xf numFmtId="0" fontId="2" fillId="0" borderId="0" xfId="0" applyFont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horizontal="centerContinuous"/>
    </xf>
    <xf numFmtId="0" fontId="5" fillId="2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0" fillId="0" borderId="1" xfId="0" applyBorder="1"/>
    <xf numFmtId="0" fontId="0" fillId="0" borderId="1" xfId="0" pivotButton="1" applyBorder="1"/>
    <xf numFmtId="4" fontId="0" fillId="0" borderId="1" xfId="0" applyNumberFormat="1" applyBorder="1"/>
    <xf numFmtId="164" fontId="0" fillId="0" borderId="2" xfId="0" applyNumberFormat="1" applyBorder="1"/>
    <xf numFmtId="0" fontId="0" fillId="0" borderId="3" xfId="0" applyBorder="1"/>
    <xf numFmtId="4" fontId="0" fillId="0" borderId="3" xfId="0" applyNumberFormat="1" applyBorder="1"/>
    <xf numFmtId="164" fontId="0" fillId="0" borderId="4" xfId="0" applyNumberFormat="1" applyBorder="1"/>
    <xf numFmtId="0" fontId="1" fillId="0" borderId="1" xfId="0" pivotButton="1" applyFont="1" applyBorder="1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5" xfId="0" applyFont="1" applyBorder="1"/>
    <xf numFmtId="4" fontId="1" fillId="0" borderId="5" xfId="0" applyNumberFormat="1" applyFont="1" applyBorder="1"/>
    <xf numFmtId="164" fontId="1" fillId="0" borderId="6" xfId="0" applyNumberFormat="1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6" fillId="0" borderId="0" xfId="0" applyFont="1" applyAlignment="1">
      <alignment vertical="center"/>
    </xf>
    <xf numFmtId="10" fontId="0" fillId="0" borderId="0" xfId="0" applyNumberFormat="1"/>
    <xf numFmtId="10" fontId="0" fillId="0" borderId="7" xfId="0" applyNumberFormat="1" applyBorder="1"/>
    <xf numFmtId="10" fontId="0" fillId="0" borderId="8" xfId="0" applyNumberFormat="1" applyBorder="1"/>
    <xf numFmtId="0" fontId="1" fillId="0" borderId="7" xfId="0" applyFont="1" applyBorder="1"/>
    <xf numFmtId="10" fontId="1" fillId="0" borderId="9" xfId="0" applyNumberFormat="1" applyFont="1" applyBorder="1"/>
    <xf numFmtId="0" fontId="0" fillId="0" borderId="10" xfId="0" applyBorder="1"/>
    <xf numFmtId="10" fontId="0" fillId="0" borderId="10" xfId="1" applyNumberFormat="1" applyFont="1" applyBorder="1"/>
    <xf numFmtId="0" fontId="1" fillId="0" borderId="10" xfId="0" applyFont="1" applyBorder="1"/>
    <xf numFmtId="10" fontId="1" fillId="0" borderId="10" xfId="1" applyNumberFormat="1" applyFont="1" applyBorder="1"/>
    <xf numFmtId="0" fontId="1" fillId="0" borderId="0" xfId="0" applyFont="1" applyFill="1"/>
    <xf numFmtId="0" fontId="0" fillId="3" borderId="0" xfId="0" applyFill="1" applyAlignment="1">
      <alignment horizontal="centerContinuous"/>
    </xf>
    <xf numFmtId="0" fontId="8" fillId="3" borderId="0" xfId="0" applyFont="1" applyFill="1" applyAlignment="1">
      <alignment horizontal="centerContinuous" vertical="center"/>
    </xf>
    <xf numFmtId="0" fontId="0" fillId="0" borderId="0" xfId="0" applyFill="1" applyAlignment="1">
      <alignment horizontal="centerContinuous"/>
    </xf>
    <xf numFmtId="0" fontId="0" fillId="0" borderId="0" xfId="0" applyFill="1"/>
    <xf numFmtId="0" fontId="9" fillId="0" borderId="0" xfId="0" applyFont="1" applyFill="1" applyAlignment="1">
      <alignment horizontal="centerContinuous" vertical="center"/>
    </xf>
    <xf numFmtId="0" fontId="9" fillId="3" borderId="0" xfId="0" applyFont="1" applyFill="1" applyAlignment="1">
      <alignment horizontal="centerContinuous" vertical="center"/>
    </xf>
    <xf numFmtId="0" fontId="8" fillId="4" borderId="0" xfId="0" applyFont="1" applyFill="1" applyAlignment="1">
      <alignment horizontal="centerContinuous"/>
    </xf>
    <xf numFmtId="0" fontId="8" fillId="4" borderId="0" xfId="0" applyFont="1" applyFill="1" applyAlignment="1">
      <alignment horizontal="centerContinuous" vertical="center"/>
    </xf>
  </cellXfs>
  <cellStyles count="2">
    <cellStyle name="Normal" xfId="0" builtinId="0"/>
    <cellStyle name="Percent" xfId="1" builtinId="5"/>
  </cellStyles>
  <dxfs count="29">
    <dxf>
      <font>
        <b/>
        <i val="0"/>
      </font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3" defaultTableStyle="TableStyleMedium2" defaultPivotStyle="PivotStyleLight16">
    <tableStyle name="regional office slicer" pivot="0" table="0" count="7" xr9:uid="{C5F771E5-C2D2-4886-99E8-66185C489696}">
      <tableStyleElement type="wholeTable" dxfId="1"/>
      <tableStyleElement type="headerRow" dxfId="0"/>
    </tableStyle>
    <tableStyle name="Slicer Style 1" pivot="0" table="0" count="1" xr9:uid="{5464CCEA-6017-495E-888E-13353B4AA890}">
      <tableStyleElement type="wholeTable" dxfId="28"/>
    </tableStyle>
    <tableStyle name="Slicer Style 2" pivot="0" table="0" count="1" xr9:uid="{E4D4363C-3681-4A1D-8992-B7CBE203BA21}">
      <tableStyleElement type="wholeTable" dxfId="27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8" tint="0.39994506668294322"/>
            </patternFill>
          </fill>
        </dxf>
        <dxf/>
        <dxf>
          <fill>
            <patternFill>
              <bgColor theme="8" tint="0.39994506668294322"/>
            </patternFill>
          </fill>
        </dxf>
        <dxf>
          <border diagonalUp="0" diagonalDown="0">
            <left style="thin">
              <color theme="8" tint="0.39994506668294322"/>
            </left>
            <right style="thin">
              <color theme="8" tint="0.39994506668294322"/>
            </right>
            <top style="thin">
              <color theme="8" tint="0.39994506668294322"/>
            </top>
            <bottom style="thin">
              <color theme="8" tint="0.39994506668294322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egional office slicer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Analysis.xlsx]Product Performance!HelperTable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Performance</a:t>
            </a:r>
            <a:r>
              <a:rPr lang="en-US" sz="1400" b="0" i="0" u="none" strike="noStrike" baseline="0"/>
              <a:t>: Won Revenue vs. Win Rate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Performance'!$W$4</c:f>
              <c:strCache>
                <c:ptCount val="1"/>
                <c:pt idx="0">
                  <c:v>Won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Performance'!$V$5:$V$12</c:f>
              <c:strCache>
                <c:ptCount val="7"/>
                <c:pt idx="0">
                  <c:v>GTX 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'Product Performance'!$W$5:$W$12</c:f>
              <c:numCache>
                <c:formatCode>#,##0.00</c:formatCode>
                <c:ptCount val="7"/>
                <c:pt idx="0">
                  <c:v>3510578</c:v>
                </c:pt>
                <c:pt idx="1">
                  <c:v>2629651</c:v>
                </c:pt>
                <c:pt idx="2">
                  <c:v>2216387</c:v>
                </c:pt>
                <c:pt idx="3">
                  <c:v>705275</c:v>
                </c:pt>
                <c:pt idx="4">
                  <c:v>499263</c:v>
                </c:pt>
                <c:pt idx="5">
                  <c:v>400612</c:v>
                </c:pt>
                <c:pt idx="6">
                  <c:v>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7-4699-9A36-30E223CE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7814223"/>
        <c:axId val="939662527"/>
      </c:barChart>
      <c:lineChart>
        <c:grouping val="standard"/>
        <c:varyColors val="0"/>
        <c:ser>
          <c:idx val="1"/>
          <c:order val="1"/>
          <c:tx>
            <c:strRef>
              <c:f>'Product Performance'!$X$4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Performance'!$V$5:$V$12</c:f>
              <c:strCache>
                <c:ptCount val="7"/>
                <c:pt idx="0">
                  <c:v>GTX Pro</c:v>
                </c:pt>
                <c:pt idx="1">
                  <c:v>GTX Plus Pro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Basic</c:v>
                </c:pt>
                <c:pt idx="5">
                  <c:v>GTK 500</c:v>
                </c:pt>
                <c:pt idx="6">
                  <c:v>MG Special</c:v>
                </c:pt>
              </c:strCache>
            </c:strRef>
          </c:cat>
          <c:val>
            <c:numRef>
              <c:f>'Product Performance'!$X$5:$X$12</c:f>
              <c:numCache>
                <c:formatCode>0.00%;\-0.00%;0.00%</c:formatCode>
                <c:ptCount val="7"/>
                <c:pt idx="0">
                  <c:v>0.63557105492589361</c:v>
                </c:pt>
                <c:pt idx="1">
                  <c:v>0.64295302013422817</c:v>
                </c:pt>
                <c:pt idx="2">
                  <c:v>0.60332103321033215</c:v>
                </c:pt>
                <c:pt idx="3">
                  <c:v>0.62131303520456704</c:v>
                </c:pt>
                <c:pt idx="4">
                  <c:v>0.63718662952646243</c:v>
                </c:pt>
                <c:pt idx="5">
                  <c:v>0.6</c:v>
                </c:pt>
                <c:pt idx="6">
                  <c:v>0.64840556009811934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7-4699-9A36-30E223CE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431136"/>
        <c:axId val="667183840"/>
      </c:lineChart>
      <c:valAx>
        <c:axId val="667183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7036248434168337"/>
              <c:y val="0.42272016512199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31136"/>
        <c:crosses val="max"/>
        <c:crossBetween val="between"/>
      </c:valAx>
      <c:catAx>
        <c:axId val="151143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83840"/>
        <c:crosses val="autoZero"/>
        <c:auto val="1"/>
        <c:lblAlgn val="ctr"/>
        <c:lblOffset val="100"/>
        <c:noMultiLvlLbl val="0"/>
      </c:catAx>
      <c:valAx>
        <c:axId val="93966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Won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14223"/>
        <c:crosses val="autoZero"/>
        <c:crossBetween val="between"/>
      </c:valAx>
      <c:catAx>
        <c:axId val="133781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9662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Analysis.xlsx]Sales Agents Performance!PivotTable2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Sales Agent: </a:t>
            </a:r>
            <a:r>
              <a:rPr lang="en-US" sz="1400" b="0" i="0" u="none" strike="noStrike" baseline="0"/>
              <a:t>Won Revenue vs. Win Rate</a:t>
            </a:r>
            <a:endParaRPr lang="en-US" baseline="0"/>
          </a:p>
          <a:p>
            <a:pPr>
              <a:defRPr/>
            </a:pPr>
            <a:r>
              <a:rPr lang="en-US" sz="1100" baseline="0"/>
              <a:t>(by won revenue)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Agents Performance'!$J$25</c:f>
              <c:strCache>
                <c:ptCount val="1"/>
                <c:pt idx="0">
                  <c:v>Won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Agents Performance'!$I$26:$I$36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'Sales Agents Performance'!$J$26:$J$36</c:f>
              <c:numCache>
                <c:formatCode>#,##0.00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4-4180-A7F3-5B62D28F7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356448"/>
        <c:axId val="591244288"/>
      </c:barChart>
      <c:lineChart>
        <c:grouping val="standard"/>
        <c:varyColors val="0"/>
        <c:ser>
          <c:idx val="1"/>
          <c:order val="1"/>
          <c:tx>
            <c:strRef>
              <c:f>'Sales Agents Performance'!$K$25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Agents Performance'!$I$26:$I$36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'Sales Agents Performance'!$K$26:$K$36</c:f>
              <c:numCache>
                <c:formatCode>0.00%;\-0.00%;0.00%</c:formatCode>
                <c:ptCount val="10"/>
                <c:pt idx="0">
                  <c:v>0.63110307414104883</c:v>
                </c:pt>
                <c:pt idx="1">
                  <c:v>0.63688760806916422</c:v>
                </c:pt>
                <c:pt idx="2">
                  <c:v>0.62388059701492538</c:v>
                </c:pt>
                <c:pt idx="3">
                  <c:v>0.62452107279693492</c:v>
                </c:pt>
                <c:pt idx="4">
                  <c:v>0.57454545454545458</c:v>
                </c:pt>
                <c:pt idx="5">
                  <c:v>0.65400843881856541</c:v>
                </c:pt>
                <c:pt idx="6">
                  <c:v>0.61685823754789271</c:v>
                </c:pt>
                <c:pt idx="7">
                  <c:v>0.65502183406113534</c:v>
                </c:pt>
                <c:pt idx="8">
                  <c:v>0.65533980582524276</c:v>
                </c:pt>
                <c:pt idx="9">
                  <c:v>0.60962566844919786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4-4180-A7F3-5B62D28F7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447680"/>
        <c:axId val="591251008"/>
      </c:lineChart>
      <c:catAx>
        <c:axId val="5693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44288"/>
        <c:crosses val="autoZero"/>
        <c:auto val="1"/>
        <c:lblAlgn val="ctr"/>
        <c:lblOffset val="100"/>
        <c:noMultiLvlLbl val="0"/>
      </c:catAx>
      <c:valAx>
        <c:axId val="5912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Won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56448"/>
        <c:crosses val="autoZero"/>
        <c:crossBetween val="between"/>
      </c:valAx>
      <c:valAx>
        <c:axId val="5912510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47680"/>
        <c:crosses val="max"/>
        <c:crossBetween val="between"/>
      </c:valAx>
      <c:catAx>
        <c:axId val="571447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125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Analysis.xlsx]Regional Performance!PivotTable2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Office Performance: Won Revenue vs. Win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Performance'!$J$14</c:f>
              <c:strCache>
                <c:ptCount val="1"/>
                <c:pt idx="0">
                  <c:v>Won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Performance'!$I$15:$I$18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'Regional Performance'!$J$15:$J$18</c:f>
              <c:numCache>
                <c:formatCode>#,##0.00</c:formatCode>
                <c:ptCount val="3"/>
                <c:pt idx="0">
                  <c:v>3568647</c:v>
                </c:pt>
                <c:pt idx="1">
                  <c:v>3346293</c:v>
                </c:pt>
                <c:pt idx="2">
                  <c:v>3090594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D-4940-B7DD-DEEA01D1E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773792"/>
        <c:axId val="591242368"/>
      </c:barChart>
      <c:lineChart>
        <c:grouping val="standard"/>
        <c:varyColors val="0"/>
        <c:ser>
          <c:idx val="1"/>
          <c:order val="1"/>
          <c:tx>
            <c:strRef>
              <c:f>'Regional Performance'!$K$14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'Regional Performance'!$I$15:$I$18</c:f>
              <c:strCache>
                <c:ptCount val="3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</c:strCache>
            </c:strRef>
          </c:cat>
          <c:val>
            <c:numRef>
              <c:f>'Regional Performance'!$K$15:$K$18</c:f>
              <c:numCache>
                <c:formatCode>0.00%;\-0.00%;0.00%</c:formatCode>
                <c:ptCount val="3"/>
                <c:pt idx="0">
                  <c:v>0.63939528679413071</c:v>
                </c:pt>
                <c:pt idx="1">
                  <c:v>0.62557603686635943</c:v>
                </c:pt>
                <c:pt idx="2">
                  <c:v>0.63024757804090414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D-4940-B7DD-DEEA01D1E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496784"/>
        <c:axId val="591269728"/>
      </c:lineChart>
      <c:catAx>
        <c:axId val="5187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42368"/>
        <c:crosses val="autoZero"/>
        <c:auto val="1"/>
        <c:lblAlgn val="ctr"/>
        <c:lblOffset val="100"/>
        <c:noMultiLvlLbl val="0"/>
      </c:catAx>
      <c:valAx>
        <c:axId val="59124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Won Revenue</a:t>
                </a:r>
              </a:p>
            </c:rich>
          </c:tx>
          <c:layout>
            <c:manualLayout>
              <c:xMode val="edge"/>
              <c:yMode val="edge"/>
              <c:x val="1.1095435047530725E-2"/>
              <c:y val="0.38040185955947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73792"/>
        <c:crosses val="autoZero"/>
        <c:crossBetween val="between"/>
      </c:valAx>
      <c:valAx>
        <c:axId val="5912697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Rate</a:t>
                </a:r>
              </a:p>
            </c:rich>
          </c:tx>
          <c:layout>
            <c:manualLayout>
              <c:xMode val="edge"/>
              <c:yMode val="edge"/>
              <c:x val="0.96920317849267834"/>
              <c:y val="0.42563793380523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96784"/>
        <c:crosses val="max"/>
        <c:crossBetween val="between"/>
      </c:valAx>
      <c:catAx>
        <c:axId val="58249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1269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Analysis.xlsx]Account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Accounts: Win rate vs. Won Revenue</a:t>
            </a:r>
          </a:p>
          <a:p>
            <a:pPr>
              <a:defRPr/>
            </a:pPr>
            <a:r>
              <a:rPr lang="en-US" sz="1100" baseline="0"/>
              <a:t>(by won revenue)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'Account Performance'!$K$18</c:f>
              <c:strCache>
                <c:ptCount val="1"/>
                <c:pt idx="0">
                  <c:v>Won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'Account Performance'!$J$19:$J$29</c:f>
              <c:strCache>
                <c:ptCount val="10"/>
                <c:pt idx="0">
                  <c:v>Kan-code</c:v>
                </c:pt>
                <c:pt idx="1">
                  <c:v>Konex</c:v>
                </c:pt>
                <c:pt idx="2">
                  <c:v>Condax</c:v>
                </c:pt>
                <c:pt idx="3">
                  <c:v>Cheers</c:v>
                </c:pt>
                <c:pt idx="4">
                  <c:v>Hottechi</c:v>
                </c:pt>
                <c:pt idx="5">
                  <c:v>Goodsilron</c:v>
                </c:pt>
                <c:pt idx="6">
                  <c:v>Treequote</c:v>
                </c:pt>
                <c:pt idx="7">
                  <c:v>Warephase</c:v>
                </c:pt>
                <c:pt idx="8">
                  <c:v>Xx-holding</c:v>
                </c:pt>
                <c:pt idx="9">
                  <c:v>Isdom</c:v>
                </c:pt>
              </c:strCache>
            </c:strRef>
          </c:cat>
          <c:val>
            <c:numRef>
              <c:f>'Account Performance'!$K$19:$K$29</c:f>
              <c:numCache>
                <c:formatCode>#,##0.00</c:formatCode>
                <c:ptCount val="10"/>
                <c:pt idx="0">
                  <c:v>341455</c:v>
                </c:pt>
                <c:pt idx="1">
                  <c:v>269245</c:v>
                </c:pt>
                <c:pt idx="2">
                  <c:v>206410</c:v>
                </c:pt>
                <c:pt idx="3">
                  <c:v>198020</c:v>
                </c:pt>
                <c:pt idx="4">
                  <c:v>194957</c:v>
                </c:pt>
                <c:pt idx="5">
                  <c:v>182522</c:v>
                </c:pt>
                <c:pt idx="6">
                  <c:v>176751</c:v>
                </c:pt>
                <c:pt idx="7">
                  <c:v>170046</c:v>
                </c:pt>
                <c:pt idx="8">
                  <c:v>169357</c:v>
                </c:pt>
                <c:pt idx="9">
                  <c:v>164683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5-49E0-A1A1-338E28724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242176"/>
        <c:axId val="697151424"/>
      </c:barChart>
      <c:lineChart>
        <c:grouping val="standard"/>
        <c:varyColors val="0"/>
        <c:ser>
          <c:idx val="1"/>
          <c:order val="1"/>
          <c:tx>
            <c:strRef>
              <c:f>'Account Performance'!$L$18</c:f>
              <c:strCache>
                <c:ptCount val="1"/>
                <c:pt idx="0">
                  <c:v>Win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'Account Performance'!$J$19:$J$29</c:f>
              <c:strCache>
                <c:ptCount val="10"/>
                <c:pt idx="0">
                  <c:v>Kan-code</c:v>
                </c:pt>
                <c:pt idx="1">
                  <c:v>Konex</c:v>
                </c:pt>
                <c:pt idx="2">
                  <c:v>Condax</c:v>
                </c:pt>
                <c:pt idx="3">
                  <c:v>Cheers</c:v>
                </c:pt>
                <c:pt idx="4">
                  <c:v>Hottechi</c:v>
                </c:pt>
                <c:pt idx="5">
                  <c:v>Goodsilron</c:v>
                </c:pt>
                <c:pt idx="6">
                  <c:v>Treequote</c:v>
                </c:pt>
                <c:pt idx="7">
                  <c:v>Warephase</c:v>
                </c:pt>
                <c:pt idx="8">
                  <c:v>Xx-holding</c:v>
                </c:pt>
                <c:pt idx="9">
                  <c:v>Isdom</c:v>
                </c:pt>
              </c:strCache>
            </c:strRef>
          </c:cat>
          <c:val>
            <c:numRef>
              <c:f>'Account Performance'!$L$19:$L$29</c:f>
              <c:numCache>
                <c:formatCode>0.00%;\-0.00%;0.00%</c:formatCode>
                <c:ptCount val="10"/>
                <c:pt idx="0">
                  <c:v>0.61497326203208558</c:v>
                </c:pt>
                <c:pt idx="1">
                  <c:v>0.63157894736842102</c:v>
                </c:pt>
                <c:pt idx="2">
                  <c:v>0.660377358490566</c:v>
                </c:pt>
                <c:pt idx="3">
                  <c:v>0.6333333333333333</c:v>
                </c:pt>
                <c:pt idx="4">
                  <c:v>0.57512953367875652</c:v>
                </c:pt>
                <c:pt idx="5">
                  <c:v>0.73863636363636365</c:v>
                </c:pt>
                <c:pt idx="6">
                  <c:v>0.6132075471698113</c:v>
                </c:pt>
                <c:pt idx="7">
                  <c:v>0.69306930693069302</c:v>
                </c:pt>
                <c:pt idx="8">
                  <c:v>0.60759493670886078</c:v>
                </c:pt>
                <c:pt idx="9">
                  <c:v>0.5803571428571429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5-49E0-A1A1-338E28724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259808"/>
        <c:axId val="697161024"/>
      </c:lineChart>
      <c:catAx>
        <c:axId val="6802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51424"/>
        <c:crosses val="autoZero"/>
        <c:auto val="1"/>
        <c:lblAlgn val="ctr"/>
        <c:lblOffset val="100"/>
        <c:noMultiLvlLbl val="0"/>
      </c:catAx>
      <c:valAx>
        <c:axId val="6971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Won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2176"/>
        <c:crosses val="autoZero"/>
        <c:crossBetween val="between"/>
      </c:valAx>
      <c:valAx>
        <c:axId val="69716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9808"/>
        <c:crosses val="max"/>
        <c:crossBetween val="between"/>
      </c:valAx>
      <c:catAx>
        <c:axId val="68025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716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Analysis.xlsx]Overall sales outcomes!PivotTable2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 Stages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'Overall sales outcomes'!$C$35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B8-43CB-BF56-4416D4532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B8-43CB-BF56-4416D4532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B8-43CB-BF56-4416D45324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B8-43CB-BF56-4416D4532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'Overall sales outcomes'!$B$36:$B$40</c:f>
              <c:strCache>
                <c:ptCount val="4"/>
                <c:pt idx="0">
                  <c:v>Won</c:v>
                </c:pt>
                <c:pt idx="1">
                  <c:v>Lost</c:v>
                </c:pt>
                <c:pt idx="2">
                  <c:v>Engaging</c:v>
                </c:pt>
                <c:pt idx="3">
                  <c:v>Prospecting</c:v>
                </c:pt>
              </c:strCache>
            </c:strRef>
          </c:cat>
          <c:val>
            <c:numRef>
              <c:f>'Overall sales outcomes'!$C$36:$C$40</c:f>
              <c:numCache>
                <c:formatCode>0.00%</c:formatCode>
                <c:ptCount val="4"/>
                <c:pt idx="0">
                  <c:v>0.48159090909090907</c:v>
                </c:pt>
                <c:pt idx="1">
                  <c:v>0.28102272727272726</c:v>
                </c:pt>
                <c:pt idx="2">
                  <c:v>0.18056818181818182</c:v>
                </c:pt>
                <c:pt idx="3">
                  <c:v>5.6818181818181816E-2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F45-A828-AEBD7C7D9E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788A9-0B7E-0054-475C-0B559D9B4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1756</xdr:rowOff>
    </xdr:from>
    <xdr:to>
      <xdr:col>11</xdr:col>
      <xdr:colOff>0</xdr:colOff>
      <xdr:row>80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97C62-2E17-3E8B-403E-892A2D67F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1621</xdr:colOff>
      <xdr:row>19</xdr:row>
      <xdr:rowOff>0</xdr:rowOff>
    </xdr:from>
    <xdr:to>
      <xdr:col>10</xdr:col>
      <xdr:colOff>614525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8D1D3-213A-61A2-67D6-98D0CDBCA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606135</xdr:colOff>
      <xdr:row>104</xdr:row>
      <xdr:rowOff>180604</xdr:rowOff>
    </xdr:from>
    <xdr:to>
      <xdr:col>11</xdr:col>
      <xdr:colOff>831271</xdr:colOff>
      <xdr:row>129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E8A05-E9C9-40AF-713E-E64E1581A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184148</xdr:rowOff>
    </xdr:from>
    <xdr:to>
      <xdr:col>13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7807C0-CB19-CFE4-8156-7E3CD109E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34491782408" backgroundQuery="1" createdVersion="8" refreshedVersion="8" minRefreshableVersion="3" recordCount="0" supportSubquery="1" supportAdvancedDrill="1" xr:uid="{E81F1C88-CE2B-48C5-96D2-A3F31DA2F9B4}">
  <cacheSource type="external" connectionId="5"/>
  <cacheFields count="3">
    <cacheField name="[accounts].[account].[account]" caption="account" numFmtId="0" level="1">
      <sharedItems count="10">
        <s v="Cheers"/>
        <s v="Condax"/>
        <s v="Goodsilron"/>
        <s v="Hottechi"/>
        <s v="Isdom"/>
        <s v="Kan-code"/>
        <s v="Konex"/>
        <s v="Treequote"/>
        <s v="Warephase"/>
        <s v="Xx-holding"/>
      </sharedItems>
    </cacheField>
    <cacheField name="[Measures].[Won Revenue]" caption="Won Revenue" numFmtId="0" hierarchy="25" level="32767"/>
    <cacheField name="[Measures].[Win Rate]" caption="Win Rate" numFmtId="0" hierarchy="22" level="32767"/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0" memberValueDatatype="130" unbalanced="0"/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2"/>
      </fieldsUsage>
    </cacheHierarchy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 oneField="1">
      <fieldsUsage count="1">
        <fieldUsage x="1"/>
      </fieldsUsage>
    </cacheHierarchy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34494328703" backgroundQuery="1" createdVersion="8" refreshedVersion="8" minRefreshableVersion="3" recordCount="0" supportSubquery="1" supportAdvancedDrill="1" xr:uid="{6B185C0D-163C-402C-BD88-D50178DE1BB9}">
  <cacheSource type="external" connectionId="5"/>
  <cacheFields count="4">
    <cacheField name="[sales_pipeline_clean].[deal_stage].[deal_stage]" caption="deal_stage" numFmtId="0" hierarchy="14" level="1">
      <sharedItems count="4">
        <s v="Engaging"/>
        <s v="Lost"/>
        <s v="Prospecting"/>
        <s v="Won"/>
      </sharedItems>
    </cacheField>
    <cacheField name="[Measures].[Won Revenue]" caption="Won Revenue" numFmtId="0" hierarchy="25" level="32767"/>
    <cacheField name="[Measures].[Win Rate]" caption="Win Rate" numFmtId="0" hierarchy="22" level="32767"/>
    <cacheField name="[sales_teams].[regional_office].[regional_office]" caption="regional_office" numFmtId="0" hierarchy="20" level="1">
      <sharedItems count="3">
        <s v="Central"/>
        <s v="East"/>
        <s v="West"/>
      </sharedItems>
    </cacheField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0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>
      <fieldsUsage count="2">
        <fieldUsage x="-1"/>
        <fieldUsage x="3"/>
      </fieldsUsage>
    </cacheHierarchy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2"/>
      </fieldsUsage>
    </cacheHierarchy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 oneField="1">
      <fieldsUsage count="1">
        <fieldUsage x="1"/>
      </fieldsUsage>
    </cacheHierarchy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34495486111" backgroundQuery="1" createdVersion="8" refreshedVersion="8" minRefreshableVersion="3" recordCount="0" supportSubquery="1" supportAdvancedDrill="1" xr:uid="{FCA0A35E-0DE2-4F5B-91C0-E81B398AF589}">
  <cacheSource type="external" connectionId="5"/>
  <cacheFields count="7">
    <cacheField name="[sales_pipeline_clean].[deal_stage].[deal_stage]" caption="deal_stage" numFmtId="0" hierarchy="14" level="1">
      <sharedItems count="4">
        <s v="Engaging"/>
        <s v="Lost"/>
        <s v="Prospecting"/>
        <s v="Won"/>
      </sharedItems>
    </cacheField>
    <cacheField name="[Measures].[Won Revenue]" caption="Won Revenue" numFmtId="0" hierarchy="25" level="32767"/>
    <cacheField name="[Measures].[Completed Opportunities]" caption="Completed Opportunities" numFmtId="0" hierarchy="23" level="32767"/>
    <cacheField name="[Measures].[Win Rate]" caption="Win Rate" numFmtId="0" hierarchy="22" level="32767"/>
    <cacheField name="[Measures].[Won Opportunities]" caption="Won Opportunities" numFmtId="0" hierarchy="26" level="32767"/>
    <cacheField name="[Measures].[Avg Won Value]" caption="Avg Won Value" numFmtId="0" hierarchy="24" level="32767"/>
    <cacheField name="[sales_teams].[regional_office].[regional_office]" caption="regional_office" numFmtId="0" hierarchy="20" level="1">
      <sharedItems count="3">
        <s v="Central"/>
        <s v="East"/>
        <s v="West"/>
      </sharedItems>
    </cacheField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0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>
      <fieldsUsage count="2">
        <fieldUsage x="-1"/>
        <fieldUsage x="6"/>
      </fieldsUsage>
    </cacheHierarchy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3"/>
      </fieldsUsage>
    </cacheHierarchy>
    <cacheHierarchy uniqueName="[Measures].[Completed Opportunities]" caption="Completed Opportunities" measure="1" displayFolder="" measureGroup="sales_pipeline_clean" count="0" oneField="1">
      <fieldsUsage count="1">
        <fieldUsage x="2"/>
      </fieldsUsage>
    </cacheHierarchy>
    <cacheHierarchy uniqueName="[Measures].[Avg Won Value]" caption="Avg Won Value" measure="1" displayFolder="" measureGroup="sales_pipeline_clean" count="0" oneField="1">
      <fieldsUsage count="1">
        <fieldUsage x="5"/>
      </fieldsUsage>
    </cacheHierarchy>
    <cacheHierarchy uniqueName="[Measures].[Won Revenue]" caption="Won Revenue" measure="1" displayFolder="" measureGroup="sales_pipeline_clean" count="0" oneField="1">
      <fieldsUsage count="1">
        <fieldUsage x="1"/>
      </fieldsUsage>
    </cacheHierarchy>
    <cacheHierarchy uniqueName="[Measures].[Won Opportunities]" caption="Won Opportunities" measure="1" displayFolder="" measureGroup="sales_pipeline_clean" count="0" oneField="1">
      <fieldsUsage count="1">
        <fieldUsage x="4"/>
      </fieldsUsage>
    </cacheHierarchy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34500694445" backgroundQuery="1" createdVersion="8" refreshedVersion="8" minRefreshableVersion="3" recordCount="0" supportSubquery="1" supportAdvancedDrill="1" xr:uid="{AA81C954-2E46-4257-8351-12892F2A7EE6}">
  <cacheSource type="external" connectionId="5"/>
  <cacheFields count="7">
    <cacheField name="[products].[product].[product]" caption="product" numFmtId="0" hierarchy="7" level="1">
      <sharedItems count="7">
        <s v="GTK 500"/>
        <s v="GTX Basic"/>
        <s v="GTX Plus Basic"/>
        <s v="GTX Plus Pro"/>
        <s v="GTX Pro"/>
        <s v="MG Advanced"/>
        <s v="MG Special"/>
      </sharedItems>
    </cacheField>
    <cacheField name="[Measures].[Win Rate]" caption="Win Rate" numFmtId="0" hierarchy="22" level="32767"/>
    <cacheField name="[Measures].[Completed Opportunities]" caption="Completed Opportunities" numFmtId="0" hierarchy="23" level="32767"/>
    <cacheField name="[Measures].[Won Opportunities]" caption="Won Opportunities" numFmtId="0" hierarchy="26" level="32767"/>
    <cacheField name="[Measures].[Avg Won Value]" caption="Avg Won Value" numFmtId="0" hierarchy="24" level="32767"/>
    <cacheField name="[sales_pipeline_clean].[deal_stage].[deal_stage]" caption="deal_stage" numFmtId="0" hierarchy="14" level="1">
      <sharedItems containsSemiMixedTypes="0" containsNonDate="0" containsString="0"/>
    </cacheField>
    <cacheField name="[Measures].[Won Revenue]" caption="Won Revenue" numFmtId="0" hierarchy="25" level="32767"/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5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1"/>
      </fieldsUsage>
    </cacheHierarchy>
    <cacheHierarchy uniqueName="[Measures].[Completed Opportunities]" caption="Completed Opportunities" measure="1" displayFolder="" measureGroup="sales_pipeline_clean" count="0" oneField="1">
      <fieldsUsage count="1">
        <fieldUsage x="2"/>
      </fieldsUsage>
    </cacheHierarchy>
    <cacheHierarchy uniqueName="[Measures].[Avg Won Value]" caption="Avg Won Value" measure="1" displayFolder="" measureGroup="sales_pipeline_clean" count="0" oneField="1">
      <fieldsUsage count="1">
        <fieldUsage x="4"/>
      </fieldsUsage>
    </cacheHierarchy>
    <cacheHierarchy uniqueName="[Measures].[Won Revenue]" caption="Won Revenue" measure="1" displayFolder="" measureGroup="sales_pipeline_clean" count="0" oneField="1">
      <fieldsUsage count="1">
        <fieldUsage x="6"/>
      </fieldsUsage>
    </cacheHierarchy>
    <cacheHierarchy uniqueName="[Measures].[Won Opportunities]" caption="Won Opportunities" measure="1" displayFolder="" measureGroup="sales_pipeline_clean" count="0" oneField="1">
      <fieldsUsage count="1">
        <fieldUsage x="3"/>
      </fieldsUsage>
    </cacheHierarchy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34501967592" backgroundQuery="1" createdVersion="8" refreshedVersion="8" minRefreshableVersion="3" recordCount="0" supportSubquery="1" supportAdvancedDrill="1" xr:uid="{B5046864-EDE5-4343-866F-AB00AF28DA51}">
  <cacheSource type="external" connectionId="5"/>
  <cacheFields count="4">
    <cacheField name="[products].[product].[product]" caption="product" numFmtId="0" hierarchy="7" level="1">
      <sharedItems count="7">
        <s v="GTK 500"/>
        <s v="GTX Basic"/>
        <s v="GTX Plus Basic"/>
        <s v="GTX Plus Pro"/>
        <s v="GTX Pro"/>
        <s v="MG Advanced"/>
        <s v="MG Special"/>
      </sharedItems>
    </cacheField>
    <cacheField name="[Measures].[Win Rate]" caption="Win Rate" numFmtId="0" hierarchy="22" level="32767"/>
    <cacheField name="[sales_pipeline_clean].[deal_stage].[deal_stage]" caption="deal_stage" numFmtId="0" hierarchy="14" level="1">
      <sharedItems containsSemiMixedTypes="0" containsNonDate="0" containsString="0"/>
    </cacheField>
    <cacheField name="[Measures].[Won Revenue]" caption="Won Revenue" numFmtId="0" hierarchy="25" level="32767"/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2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1"/>
      </fieldsUsage>
    </cacheHierarchy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 oneField="1">
      <fieldsUsage count="1">
        <fieldUsage x="3"/>
      </fieldsUsage>
    </cacheHierarchy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84910416667" backgroundQuery="1" createdVersion="8" refreshedVersion="8" minRefreshableVersion="3" recordCount="0" supportSubquery="1" supportAdvancedDrill="1" xr:uid="{91238836-08C2-4F6D-B42D-E4313686F0AB}">
  <cacheSource type="external" connectionId="5"/>
  <cacheFields count="2">
    <cacheField name="[sales_pipeline_clean].[deal_stage].[deal_stage]" caption="deal_stage" numFmtId="0" hierarchy="14" level="1">
      <sharedItems count="4">
        <s v="Engaging"/>
        <s v="Lost"/>
        <s v="Prospecting"/>
        <s v="Won"/>
      </sharedItems>
    </cacheField>
    <cacheField name="[Measures].[Count of opportunity_id]" caption="Count of opportunity_id" numFmtId="0" hierarchy="32" level="32767"/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0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/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/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3.787931828701" backgroundQuery="1" createdVersion="8" refreshedVersion="8" minRefreshableVersion="3" recordCount="0" supportSubquery="1" supportAdvancedDrill="1" xr:uid="{E2401FE7-E865-4049-AE23-55788CF1ADE3}">
  <cacheSource type="external" connectionId="5"/>
  <cacheFields count="3">
    <cacheField name="[sales_pipeline_clean].[deal_stage].[deal_stage]" caption="deal_stage" numFmtId="0" hierarchy="14" level="1">
      <sharedItems count="4">
        <s v="Engaging"/>
        <s v="Lost"/>
        <s v="Prospecting"/>
        <s v="Won"/>
      </sharedItems>
    </cacheField>
    <cacheField name="[Measures].[Count of opportunity_id]" caption="Count of opportunity_id" numFmtId="0" hierarchy="32" level="32767"/>
    <cacheField name="Unsupported0" numFmtId="0" hierarchy="3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7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2" memberValueDatatype="130" unbalanced="0">
      <fieldsUsage count="2">
        <fieldUsage x="-1"/>
        <fieldUsage x="0"/>
      </fieldsUsage>
    </cacheHierarchy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/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/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Unsupported0" caption="account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-11" refreshedDate="46324.430538310182" backgroundQuery="1" createdVersion="8" refreshedVersion="8" minRefreshableVersion="3" recordCount="0" supportSubquery="1" supportAdvancedDrill="1" xr:uid="{1C25E8A6-C324-4FCC-A43A-13F715BB8827}">
  <cacheSource type="external" connectionId="5"/>
  <cacheFields count="3">
    <cacheField name="[sales_teams].[sales_agent].[sales_agent]" caption="sales_agent" numFmtId="0" hierarchy="18" level="1">
      <sharedItems count="10">
        <s v="Cassey Cress"/>
        <s v="Corliss Cosme"/>
        <s v="Daniell Hammack"/>
        <s v="Darcel Schlecht"/>
        <s v="Donn Cantrell"/>
        <s v="James Ascencio"/>
        <s v="Kary Hendrixson"/>
        <s v="Reed Clapper"/>
        <s v="Vicki Laflamme"/>
        <s v="Zane Levy"/>
      </sharedItems>
    </cacheField>
    <cacheField name="[Measures].[Won Revenue]" caption="Won Revenue" numFmtId="0" hierarchy="25" level="32767"/>
    <cacheField name="[Measures].[Win Rate]" caption="Win Rate" numFmtId="0" hierarchy="22" level="32767"/>
  </cacheFields>
  <cacheHierarchies count="36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5" unbalanced="0"/>
    <cacheHierarchy uniqueName="[sales_pipeline_clean].[opportunity_id]" caption="opportunity_id" attribute="1" defaultMemberUniqueName="[sales_pipeline_clean].[opportunity_id].[All]" allUniqueName="[sales_pipeline_clean].[opportunity_id].[All]" dimensionUniqueName="[sales_pipeline_clean]" displayFolder="" count="0" memberValueDatatype="130" unbalanced="0"/>
    <cacheHierarchy uniqueName="[sales_pipeline_clean].[sales_agent]" caption="sales_agent" attribute="1" defaultMemberUniqueName="[sales_pipeline_clean].[sales_agent].[All]" allUniqueName="[sales_pipeline_clean].[sales_agent].[All]" dimensionUniqueName="[sales_pipeline_clean]" displayFolder="" count="0" memberValueDatatype="130" unbalanced="0"/>
    <cacheHierarchy uniqueName="[sales_pipeline_clean].[product]" caption="product" attribute="1" defaultMemberUniqueName="[sales_pipeline_clean].[product].[All]" allUniqueName="[sales_pipeline_clean].[product].[All]" dimensionUniqueName="[sales_pipeline_clean]" displayFolder="" count="0" memberValueDatatype="130" unbalanced="0"/>
    <cacheHierarchy uniqueName="[sales_pipeline_clean].[account]" caption="account" attribute="1" defaultMemberUniqueName="[sales_pipeline_clean].[account].[All]" allUniqueName="[sales_pipeline_clean].[account].[All]" dimensionUniqueName="[sales_pipeline_clean]" displayFolder="" count="0" memberValueDatatype="130" unbalanced="0"/>
    <cacheHierarchy uniqueName="[sales_pipeline_clean].[deal_stage]" caption="deal_stage" attribute="1" defaultMemberUniqueName="[sales_pipeline_clean].[deal_stage].[All]" allUniqueName="[sales_pipeline_clean].[deal_stage].[All]" dimensionUniqueName="[sales_pipeline_clean]" displayFolder="" count="0" memberValueDatatype="130" unbalanced="0"/>
    <cacheHierarchy uniqueName="[sales_pipeline_clean].[engage_date]" caption="engage_date" attribute="1" time="1" defaultMemberUniqueName="[sales_pipeline_clean].[engage_date].[All]" allUniqueName="[sales_pipeline_clean].[engage_date].[All]" dimensionUniqueName="[sales_pipeline_clean]" displayFolder="" count="0" memberValueDatatype="7" unbalanced="0"/>
    <cacheHierarchy uniqueName="[sales_pipeline_clean].[close_date]" caption="close_date" attribute="1" time="1" defaultMemberUniqueName="[sales_pipeline_clean].[close_date].[All]" allUniqueName="[sales_pipeline_clean].[close_date].[All]" dimensionUniqueName="[sales_pipeline_clean]" displayFolder="" count="0" memberValueDatatype="7" unbalanced="0"/>
    <cacheHierarchy uniqueName="[sales_pipeline_clean].[close_value]" caption="close_value" attribute="1" defaultMemberUniqueName="[sales_pipeline_clean].[close_value].[All]" allUniqueName="[sales_pipeline_clean].[close_value].[All]" dimensionUniqueName="[sales_pipeline_clean]" displayFolder="" count="0" memberValueDatatype="5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>
      <fieldsUsage count="2">
        <fieldUsage x="-1"/>
        <fieldUsage x="0"/>
      </fieldsUsage>
    </cacheHierarchy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/>
    <cacheHierarchy uniqueName="[Measures].[Lost Opportunities]" caption="Lost Opportunities" measure="1" displayFolder="" measureGroup="sales_pipeline_clean" count="0"/>
    <cacheHierarchy uniqueName="[Measures].[Win Rate]" caption="Win Rate" measure="1" displayFolder="" measureGroup="sales_pipeline_clean" count="0" oneField="1">
      <fieldsUsage count="1">
        <fieldUsage x="2"/>
      </fieldsUsage>
    </cacheHierarchy>
    <cacheHierarchy uniqueName="[Measures].[Completed Opportunities]" caption="Completed Opportunities" measure="1" displayFolder="" measureGroup="sales_pipeline_clean" count="0"/>
    <cacheHierarchy uniqueName="[Measures].[Avg Won Value]" caption="Avg Won Value" measure="1" displayFolder="" measureGroup="sales_pipeline_clean" count="0"/>
    <cacheHierarchy uniqueName="[Measures].[Won Revenue]" caption="Won Revenue" measure="1" displayFolder="" measureGroup="sales_pipeline_clean" count="0" oneField="1">
      <fieldsUsage count="1">
        <fieldUsage x="1"/>
      </fieldsUsage>
    </cacheHierarchy>
    <cacheHierarchy uniqueName="[Measures].[Won Opportunities]" caption="Won Opportunities" measure="1" displayFolder="" measureGroup="sales_pipeline_clean" count="0"/>
    <cacheHierarchy uniqueName="[Measures].[__XL_Count sales_pipeline_clean]" caption="__XL_Count sales_pipeline_clean" measure="1" displayFolder="" measureGroup="sales_pipeline_clean" count="0" hidden="1"/>
    <cacheHierarchy uniqueName="[Measures].[__XL_Count accounts]" caption="__XL_Count accounts" measure="1" displayFolder="" measureGroup="accounts" count="0" hidden="1"/>
    <cacheHierarchy uniqueName="[Measures].[__XL_Count sales_teams]" caption="__XL_Count sales_teams" measure="1" displayFolder="" measureGroup="sales_team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ose_value]" caption="Sum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ose_value]" caption="Average of close_value" measure="1" displayFolder="" measureGroup="sales_pipelin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account]" caption="Count of account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accounts" uniqueName="[accounts]" caption="accounts"/>
    <dimension measure="1" name="Measures" uniqueName="[Measures]" caption="Measures"/>
    <dimension name="products" uniqueName="[products]" caption="products"/>
    <dimension name="sales_pipeline_clean" uniqueName="[sales_pipeline_clean]" caption="sales_pipeline_clean"/>
    <dimension name="sales_teams" uniqueName="[sales_teams]" caption="sales_teams"/>
  </dimensions>
  <measureGroups count="4">
    <measureGroup name="accounts" caption="accounts"/>
    <measureGroup name="products" caption="products"/>
    <measureGroup name="sales_pipeline_clean" caption="sales_pipeline_clean"/>
    <measureGroup name="sales_teams" caption="sales_team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201A2-53F3-4B8A-AC21-C9D5639E0F24}" name="HelperTable" cacheId="6" applyNumberFormats="0" applyBorderFormats="0" applyFontFormats="0" applyPatternFormats="0" applyAlignmentFormats="0" applyWidthHeightFormats="1" dataCaption="Values" tag="173eb361-090e-4cdd-8ad0-2ba58914686e" updatedVersion="8" minRefreshableVersion="3" useAutoFormatting="1" subtotalHiddenItems="1" itemPrintTitles="1" createdVersion="8" indent="0" compact="0" compactData="0" multipleFieldFilters="0" chartFormat="34">
  <location ref="V4:X12" firstHeaderRow="0" firstDataRow="1" firstDataCol="1"/>
  <pivotFields count="4">
    <pivotField axis="axisRow" compact="0" allDrilled="1" outline="0" subtotalTop="0" showAll="0" sortType="de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compact="0" allDrilled="1" outline="0" subtotalTop="0" showAll="0" dataSourceSort="1" defaultAttributeDrillState="1"/>
    <pivotField dataField="1" compact="0" outline="0" subtotalTop="0" showAll="0"/>
  </pivotFields>
  <rowFields count="1">
    <field x="0"/>
  </rowFields>
  <rowItems count="8">
    <i>
      <x v="4"/>
    </i>
    <i>
      <x v="3"/>
    </i>
    <i>
      <x v="5"/>
    </i>
    <i>
      <x v="2"/>
    </i>
    <i>
      <x v="1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1" subtotal="count" baseField="0" baseItem="0"/>
  </dataFields>
  <formats count="5"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4">
    <chartFormat chart="8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_pipeline_clean].[deal_stage].&amp;[W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_pipeline_clea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156E4-330E-4010-B5CD-997CB6B3625D}" name="Won Records PT" cacheId="5" applyNumberFormats="0" applyBorderFormats="0" applyFontFormats="0" applyPatternFormats="0" applyAlignmentFormats="0" applyWidthHeightFormats="1" dataCaption="Values" tag="c7a84194-83a2-4291-a149-79c6b508adaf" updatedVersion="8" minRefreshableVersion="3" useAutoFormatting="1" subtotalHiddenItems="1" itemPrintTitles="1" createdVersion="8" indent="0" compact="0" compactData="0" multipleFieldFilters="0" chartFormat="18">
  <location ref="O4:T12" firstHeaderRow="0" firstDataRow="1" firstDataCol="1"/>
  <pivotFields count="7">
    <pivotField axis="axisRow" compact="0" allDrilled="1" outline="0" subtotalTop="0" showAll="0" sortType="de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allDrilled="1" outline="0" subtotalTop="0" showAll="0" dataSourceSort="1" defaultAttributeDrillState="1"/>
    <pivotField dataField="1" compact="0" outline="0" subtotalTop="0" showAll="0"/>
  </pivotFields>
  <rowFields count="1">
    <field x="0"/>
  </rowFields>
  <rowItems count="8">
    <i>
      <x v="6"/>
    </i>
    <i>
      <x v="3"/>
    </i>
    <i>
      <x v="1"/>
    </i>
    <i>
      <x v="4"/>
    </i>
    <i>
      <x v="2"/>
    </i>
    <i>
      <x v="5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6" subtotal="count" baseField="0" baseItem="0"/>
    <dataField fld="3" subtotal="count" baseField="0" baseItem="0"/>
    <dataField fld="2" subtotal="count" baseField="0" baseItem="0"/>
    <dataField fld="4" subtotal="count" baseField="0" baseItem="0"/>
  </dataFields>
  <formats count="3"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_pipeline_clean].[deal_stage].&amp;[W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_pipeline_clea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2CCD4-670B-4258-A8BA-F3758F70D637}" name="PivotTable2" cacheId="228" applyNumberFormats="0" applyBorderFormats="0" applyFontFormats="0" applyPatternFormats="0" applyAlignmentFormats="0" applyWidthHeightFormats="1" dataCaption="Values" tag="a99f4c30-5adb-42a9-80ee-b9c07d1287f9" updatedVersion="8" minRefreshableVersion="3" useAutoFormatting="1" subtotalHiddenItems="1" itemPrintTitles="1" createdVersion="8" indent="0" compact="0" compactData="0" multipleFieldFilters="0" chartFormat="13">
  <location ref="I25:K36" firstHeaderRow="0" firstDataRow="1" firstDataCol="1"/>
  <pivotFields count="3">
    <pivotField axis="axisRow" compact="0" allDrilled="1" outline="0" subtotalTop="0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11">
    <i>
      <x v="3"/>
    </i>
    <i>
      <x v="8"/>
    </i>
    <i>
      <x v="6"/>
    </i>
    <i>
      <x/>
    </i>
    <i>
      <x v="4"/>
    </i>
    <i>
      <x v="7"/>
    </i>
    <i>
      <x v="9"/>
    </i>
    <i>
      <x v="1"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5"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_clean]"/>
        <x15:activeTabTopLevelEntity name="[sales_team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7BEBA-76E5-4EC4-9342-739A80F09D7C}" name="PivotTable1" cacheId="2" applyNumberFormats="0" applyBorderFormats="0" applyFontFormats="0" applyPatternFormats="0" applyAlignmentFormats="0" applyWidthHeightFormats="1" dataCaption="Values" tag="0a1d3951-cc48-440a-860a-a145493f8f8d" updatedVersion="8" minRefreshableVersion="3" itemPrintTitles="1" createdVersion="8" indent="0" compact="0" compactData="0" multipleFieldFilters="0">
  <location ref="B14:G18" firstHeaderRow="0" firstDataRow="1" firstDataCol="1"/>
  <pivotFields count="7">
    <pivotField compact="0" allDrilled="1" outline="0" subtotalTop="0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axis="axisRow" compact="0" allDrilled="1" outline="0" subtotalTop="0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">
    <i>
      <x v="2"/>
    </i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4" subtotal="count" baseField="0" baseItem="0"/>
    <dataField fld="3" subtotal="count" baseField="0" baseItem="0"/>
    <dataField fld="2" subtotal="count" baseField="0" baseItem="0"/>
    <dataField fld="5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_clean]"/>
        <x15:activeTabTopLevelEntity name="[sales_team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B6509-5A01-49C7-9B65-EE547C06ED51}" name="PivotTable2" cacheId="1" applyNumberFormats="0" applyBorderFormats="0" applyFontFormats="0" applyPatternFormats="0" applyAlignmentFormats="0" applyWidthHeightFormats="1" dataCaption="Values" tag="f42aeb76-695a-4971-8a0c-d0a06d66e2af" updatedVersion="8" minRefreshableVersion="3" useAutoFormatting="1" itemPrintTitles="1" createdVersion="8" indent="0" compact="0" compactData="0" multipleFieldFilters="0" chartFormat="7">
  <location ref="I14:K18" firstHeaderRow="0" firstDataRow="1" firstDataCol="1"/>
  <pivotFields count="4">
    <pivotField compact="0" allDrilled="1" outline="0" subtotalTop="0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  <pivotField axis="axisRow" compact="0" allDrilled="1" outline="0" subtotalTop="0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4">
    <format dxfId="9">
      <pivotArea field="0" type="button" dataOnly="0" labelOnly="1" outline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_clean]"/>
        <x15:activeTabTopLevelEntity name="[sales_team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27A80-D4E7-4996-B845-C0BFACB36E51}" name="PivotTable2" cacheId="0" applyNumberFormats="0" applyBorderFormats="0" applyFontFormats="0" applyPatternFormats="0" applyAlignmentFormats="0" applyWidthHeightFormats="1" dataCaption="Values" tag="77b0877a-b45f-439e-b99e-6b9da9c94507" updatedVersion="8" minRefreshableVersion="3" useAutoFormatting="1" subtotalHiddenItems="1" itemPrintTitles="1" createdVersion="8" indent="0" compact="0" compactData="0" multipleFieldFilters="0" chartFormat="1">
  <location ref="J18:L29" firstHeaderRow="0" firstDataRow="1" firstDataCol="1"/>
  <pivotFields count="3">
    <pivotField axis="axisRow" compact="0" allDrilled="1" outline="0" subtotalTop="0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11">
    <i>
      <x v="5"/>
    </i>
    <i>
      <x v="6"/>
    </i>
    <i>
      <x v="1"/>
    </i>
    <i>
      <x/>
    </i>
    <i>
      <x v="3"/>
    </i>
    <i>
      <x v="2"/>
    </i>
    <i>
      <x v="7"/>
    </i>
    <i>
      <x v="8"/>
    </i>
    <i>
      <x v="9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4"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s]"/>
        <x15:activeTabTopLevelEntity name="[sales_pipeline_clea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1A95D-9E23-41A9-87FB-D38702CFF363}" name="PivotTable2" cacheId="10" applyNumberFormats="0" applyBorderFormats="0" applyFontFormats="0" applyPatternFormats="0" applyAlignmentFormats="0" applyWidthHeightFormats="1" dataCaption="Values" tag="b627445f-24b1-4300-bc4b-dcf2d618dbc0" updatedVersion="8" minRefreshableVersion="3" useAutoFormatting="1" itemPrintTitles="1" createdVersion="8" indent="0" compact="0" compactData="0" multipleFieldFilters="0" chartFormat="9">
  <location ref="B35:C40" firstHeaderRow="1" firstDataRow="1" firstDataCol="1"/>
  <pivotFields count="2">
    <pivotField axis="axisRow" compact="0" allDrilled="1" outline="0" subtotalTop="0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 of opportunity_id2" fld="1" subtotal="count" showDataAs="percentOfTotal" baseField="0" baseItem="0" numFmtId="10"/>
  </dataFields>
  <formats count="4">
    <format dxfId="26">
      <pivotArea field="0" type="button" dataOnly="0" labelOnly="1" outline="0" axis="axisRow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_clea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6C15D-2C31-4EB2-B157-4707ADD4204F}" name="PivotTable1" cacheId="11" applyNumberFormats="0" applyBorderFormats="0" applyFontFormats="0" applyPatternFormats="0" applyAlignmentFormats="0" applyWidthHeightFormats="1" dataCaption="Values" tag="40a32326-bd4d-4b30-9415-953adba37949" updatedVersion="8" minRefreshableVersion="3" useAutoFormatting="1" itemPrintTitles="1" createdVersion="8" indent="0" compact="0" compactData="0" multipleFieldFilters="0" chartFormat="7">
  <location ref="B22:D27" firstHeaderRow="0" firstDataRow="1" firstDataCol="1"/>
  <pivotFields count="3">
    <pivotField axis="axisRow" compact="0" allDrilled="1" outline="0" subtotalTop="0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pportunity_id" fld="1" subtotal="count" baseField="0" baseItem="0"/>
    <dataField name="Rate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opportunity_id]"/>
        </ext>
      </extLst>
    </dataField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ate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_clea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1D038-22B2-458C-B7D3-C5E4CAC18630}" name="Table1" displayName="Table1" ref="B25:G55" totalsRowShown="0">
  <autoFilter ref="B25:G55" xr:uid="{F171D038-22B2-458C-B7D3-C5E4CAC18630}">
    <filterColumn colId="1">
      <top10 val="10" filterVal="364229"/>
    </filterColumn>
  </autoFilter>
  <sortState xmlns:xlrd2="http://schemas.microsoft.com/office/spreadsheetml/2017/richdata2" ref="B26:G55">
    <sortCondition descending="1" ref="C26:C55"/>
  </sortState>
  <tableColumns count="6">
    <tableColumn id="1" xr3:uid="{1A9601DB-70C7-40DC-A4FE-266172C41368}" name="sales_agent"/>
    <tableColumn id="2" xr3:uid="{95BB004E-3D6D-4122-9C65-A20656B2E52E}" name="Won Revenue"/>
    <tableColumn id="3" xr3:uid="{AB009EE3-9072-4C8D-9C0F-D847B75F1795}" name="Won Opportunities"/>
    <tableColumn id="4" xr3:uid="{C3D097D0-DA35-43B5-9CCA-780793EEE910}" name="Win Rate"/>
    <tableColumn id="5" xr3:uid="{7D5A3190-DB25-424C-BE3E-5039E9E08440}" name="Completed Opportunities"/>
    <tableColumn id="6" xr3:uid="{B8BAE40F-73BE-4A7C-8C5B-5C9BB0F0260C}" name="Avg Won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8C673-A78F-4DC5-81BE-57FBF12B5C8C}" name="Table2" displayName="Table2" ref="B18:H104" totalsRowShown="0">
  <autoFilter ref="B18:H104" xr:uid="{D6A8C673-A78F-4DC5-81BE-57FBF12B5C8C}">
    <filterColumn colId="1">
      <top10 val="10" filterVal="164683"/>
    </filterColumn>
  </autoFilter>
  <sortState xmlns:xlrd2="http://schemas.microsoft.com/office/spreadsheetml/2017/richdata2" ref="B19:H104">
    <sortCondition descending="1" ref="C18:C104"/>
  </sortState>
  <tableColumns count="7">
    <tableColumn id="1" xr3:uid="{ACC0ECD3-B5EE-4723-99DC-D45A023EBC22}" name="account"/>
    <tableColumn id="2" xr3:uid="{D0C52FCE-A9B4-4A10-BC8C-09F9EE13AA9A}" name="Won Revenue"/>
    <tableColumn id="3" xr3:uid="{17EF4F38-B511-4BD2-A423-0C912602A1FB}" name="Won Opportunities"/>
    <tableColumn id="4" xr3:uid="{3054BE81-22CE-4720-B073-A4A0CF9943CE}" name="Lost Opportunities"/>
    <tableColumn id="5" xr3:uid="{EC27C949-3A9D-4723-A5E1-4D31625AA9CD}" name="Completed Opportunities"/>
    <tableColumn id="6" xr3:uid="{0EC545FE-FBFB-4DFB-99A3-39DA0E5B3AC8}" name="Win Rate"/>
    <tableColumn id="7" xr3:uid="{9B1E2B9E-A71E-463D-9A14-E5750AE596F2}" name="Avg Won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CEB5-D09D-4786-906D-EA45A43F36B4}">
  <dimension ref="B2:X14"/>
  <sheetViews>
    <sheetView showGridLines="0" showRowColHeaders="0" zoomScale="36" zoomScaleNormal="100" workbookViewId="0">
      <selection activeCell="O44" sqref="O44"/>
    </sheetView>
  </sheetViews>
  <sheetFormatPr defaultRowHeight="15" x14ac:dyDescent="0.25"/>
  <cols>
    <col min="6" max="6" width="9.140625" customWidth="1"/>
    <col min="15" max="15" width="17.7109375" bestFit="1" customWidth="1"/>
    <col min="16" max="16" width="11.140625" bestFit="1" customWidth="1"/>
    <col min="17" max="19" width="20.5703125" bestFit="1" customWidth="1"/>
    <col min="20" max="20" width="14.7109375" bestFit="1" customWidth="1"/>
    <col min="21" max="21" width="3.5703125" customWidth="1"/>
    <col min="22" max="22" width="17.7109375" bestFit="1" customWidth="1"/>
    <col min="23" max="23" width="20.5703125" bestFit="1" customWidth="1"/>
    <col min="24" max="24" width="11.140625" bestFit="1" customWidth="1"/>
  </cols>
  <sheetData>
    <row r="2" spans="2:24" ht="28.5" x14ac:dyDescent="0.25">
      <c r="B2" s="3"/>
      <c r="N2" s="6"/>
      <c r="O2" s="10" t="s">
        <v>19</v>
      </c>
      <c r="P2" s="11"/>
      <c r="Q2" s="11"/>
      <c r="R2" s="11"/>
      <c r="S2" s="11"/>
      <c r="T2" s="11"/>
      <c r="U2" s="11"/>
      <c r="V2" s="11"/>
      <c r="W2" s="11"/>
      <c r="X2" s="11"/>
    </row>
    <row r="3" spans="2:24" x14ac:dyDescent="0.25">
      <c r="V3" s="6" t="s">
        <v>149</v>
      </c>
    </row>
    <row r="4" spans="2:24" ht="30" x14ac:dyDescent="0.25">
      <c r="O4" s="1" t="s">
        <v>7</v>
      </c>
      <c r="P4" s="7" t="s">
        <v>15</v>
      </c>
      <c r="Q4" s="7" t="s">
        <v>51</v>
      </c>
      <c r="R4" s="7" t="s">
        <v>16</v>
      </c>
      <c r="S4" s="7" t="s">
        <v>17</v>
      </c>
      <c r="T4" s="7" t="s">
        <v>18</v>
      </c>
      <c r="V4" s="19" t="s">
        <v>7</v>
      </c>
      <c r="W4" s="20" t="s">
        <v>51</v>
      </c>
      <c r="X4" s="21" t="s">
        <v>15</v>
      </c>
    </row>
    <row r="5" spans="2:24" x14ac:dyDescent="0.25">
      <c r="O5" t="s">
        <v>14</v>
      </c>
      <c r="P5" s="5">
        <v>0.64840556009811934</v>
      </c>
      <c r="Q5" s="2">
        <v>43768</v>
      </c>
      <c r="R5" s="4">
        <v>793</v>
      </c>
      <c r="S5" s="4">
        <v>1223</v>
      </c>
      <c r="T5" s="2">
        <v>55.192938209331651</v>
      </c>
      <c r="V5" s="12" t="s">
        <v>12</v>
      </c>
      <c r="W5" s="14">
        <v>3510578</v>
      </c>
      <c r="X5" s="15">
        <v>0.63557105492589361</v>
      </c>
    </row>
    <row r="6" spans="2:24" x14ac:dyDescent="0.25">
      <c r="O6" t="s">
        <v>11</v>
      </c>
      <c r="P6" s="5">
        <v>0.64295302013422817</v>
      </c>
      <c r="Q6" s="2">
        <v>2629651</v>
      </c>
      <c r="R6" s="4">
        <v>479</v>
      </c>
      <c r="S6" s="4">
        <v>745</v>
      </c>
      <c r="T6" s="2">
        <v>5489.8768267223386</v>
      </c>
      <c r="V6" s="16" t="s">
        <v>11</v>
      </c>
      <c r="W6" s="17">
        <v>2629651</v>
      </c>
      <c r="X6" s="18">
        <v>0.64295302013422817</v>
      </c>
    </row>
    <row r="7" spans="2:24" x14ac:dyDescent="0.25">
      <c r="O7" t="s">
        <v>9</v>
      </c>
      <c r="P7" s="5">
        <v>0.63718662952646243</v>
      </c>
      <c r="Q7" s="2">
        <v>499263</v>
      </c>
      <c r="R7" s="4">
        <v>915</v>
      </c>
      <c r="S7" s="4">
        <v>1436</v>
      </c>
      <c r="T7" s="2">
        <v>545.64262295081971</v>
      </c>
      <c r="V7" s="16" t="s">
        <v>13</v>
      </c>
      <c r="W7" s="17">
        <v>2216387</v>
      </c>
      <c r="X7" s="18">
        <v>0.60332103321033215</v>
      </c>
    </row>
    <row r="8" spans="2:24" x14ac:dyDescent="0.25">
      <c r="O8" t="s">
        <v>12</v>
      </c>
      <c r="P8" s="5">
        <v>0.63557105492589361</v>
      </c>
      <c r="Q8" s="2">
        <v>3510578</v>
      </c>
      <c r="R8" s="4">
        <v>729</v>
      </c>
      <c r="S8" s="4">
        <v>1147</v>
      </c>
      <c r="T8" s="2">
        <v>4815.6076817558296</v>
      </c>
      <c r="V8" s="16" t="s">
        <v>10</v>
      </c>
      <c r="W8" s="17">
        <v>705275</v>
      </c>
      <c r="X8" s="18">
        <v>0.62131303520456704</v>
      </c>
    </row>
    <row r="9" spans="2:24" x14ac:dyDescent="0.25">
      <c r="O9" t="s">
        <v>10</v>
      </c>
      <c r="P9" s="5">
        <v>0.62131303520456704</v>
      </c>
      <c r="Q9" s="2">
        <v>705275</v>
      </c>
      <c r="R9" s="4">
        <v>653</v>
      </c>
      <c r="S9" s="4">
        <v>1051</v>
      </c>
      <c r="T9" s="2">
        <v>1080.0535987748851</v>
      </c>
      <c r="V9" s="16" t="s">
        <v>9</v>
      </c>
      <c r="W9" s="17">
        <v>499263</v>
      </c>
      <c r="X9" s="18">
        <v>0.63718662952646243</v>
      </c>
    </row>
    <row r="10" spans="2:24" x14ac:dyDescent="0.25">
      <c r="O10" t="s">
        <v>13</v>
      </c>
      <c r="P10" s="5">
        <v>0.60332103321033215</v>
      </c>
      <c r="Q10" s="2">
        <v>2216387</v>
      </c>
      <c r="R10" s="4">
        <v>654</v>
      </c>
      <c r="S10" s="4">
        <v>1084</v>
      </c>
      <c r="T10" s="2">
        <v>3388.9709480122324</v>
      </c>
      <c r="V10" s="16" t="s">
        <v>8</v>
      </c>
      <c r="W10" s="17">
        <v>400612</v>
      </c>
      <c r="X10" s="18">
        <v>0.6</v>
      </c>
    </row>
    <row r="11" spans="2:24" x14ac:dyDescent="0.25">
      <c r="O11" t="s">
        <v>8</v>
      </c>
      <c r="P11" s="5">
        <v>0.6</v>
      </c>
      <c r="Q11" s="2">
        <v>400612</v>
      </c>
      <c r="R11" s="4">
        <v>15</v>
      </c>
      <c r="S11" s="4">
        <v>25</v>
      </c>
      <c r="T11" s="2">
        <v>26707.466666666667</v>
      </c>
      <c r="V11" s="16" t="s">
        <v>14</v>
      </c>
      <c r="W11" s="17">
        <v>43768</v>
      </c>
      <c r="X11" s="18">
        <v>0.64840556009811934</v>
      </c>
    </row>
    <row r="12" spans="2:24" x14ac:dyDescent="0.25">
      <c r="O12" t="s">
        <v>5</v>
      </c>
      <c r="P12" s="5">
        <v>0.63150052153181346</v>
      </c>
      <c r="Q12" s="2">
        <v>10005534</v>
      </c>
      <c r="R12" s="4">
        <v>4238</v>
      </c>
      <c r="S12" s="4">
        <v>6711</v>
      </c>
      <c r="T12" s="2">
        <v>2360.9093912222747</v>
      </c>
      <c r="V12" s="22" t="s">
        <v>5</v>
      </c>
      <c r="W12" s="23">
        <v>10005534</v>
      </c>
      <c r="X12" s="24">
        <v>0.63150052153181346</v>
      </c>
    </row>
    <row r="13" spans="2:24" ht="17.25" customHeight="1" x14ac:dyDescent="0.25">
      <c r="Q13" s="7"/>
    </row>
    <row r="14" spans="2:24" ht="29.25" customHeight="1" x14ac:dyDescent="0.25"/>
  </sheetData>
  <phoneticPr fontId="3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FAEF-FFE6-42B4-A36C-55089247D9F2}">
  <dimension ref="B2:Q112"/>
  <sheetViews>
    <sheetView showGridLines="0" showRowColHeaders="0" zoomScale="40" zoomScaleNormal="55" workbookViewId="0">
      <selection activeCell="G89" sqref="G89"/>
    </sheetView>
  </sheetViews>
  <sheetFormatPr defaultRowHeight="15" x14ac:dyDescent="0.25"/>
  <cols>
    <col min="2" max="2" width="21.7109375" bestFit="1" customWidth="1"/>
    <col min="3" max="3" width="20.28515625" customWidth="1"/>
    <col min="4" max="4" width="26" customWidth="1"/>
    <col min="5" max="5" width="14.28515625" customWidth="1"/>
    <col min="6" max="6" width="33.5703125" customWidth="1"/>
    <col min="7" max="7" width="21.7109375" customWidth="1"/>
    <col min="8" max="8" width="3" customWidth="1"/>
    <col min="9" max="9" width="20.42578125" bestFit="1" customWidth="1"/>
    <col min="10" max="10" width="18.28515625" bestFit="1" customWidth="1"/>
    <col min="11" max="11" width="12.85546875" bestFit="1" customWidth="1"/>
    <col min="12" max="12" width="20" bestFit="1" customWidth="1"/>
    <col min="13" max="13" width="14.7109375" bestFit="1" customWidth="1"/>
    <col min="14" max="14" width="15" customWidth="1"/>
    <col min="16" max="16" width="4.7109375" customWidth="1"/>
    <col min="17" max="17" width="19.42578125" customWidth="1"/>
    <col min="18" max="18" width="13.7109375" bestFit="1" customWidth="1"/>
    <col min="19" max="19" width="9.28515625" bestFit="1" customWidth="1"/>
    <col min="26" max="26" width="21.7109375" bestFit="1" customWidth="1"/>
    <col min="27" max="27" width="19.42578125" bestFit="1" customWidth="1"/>
    <col min="28" max="28" width="9.42578125" bestFit="1" customWidth="1"/>
    <col min="29" max="29" width="10" bestFit="1" customWidth="1"/>
    <col min="30" max="30" width="10.85546875" bestFit="1" customWidth="1"/>
    <col min="31" max="31" width="12.5703125" bestFit="1" customWidth="1"/>
  </cols>
  <sheetData>
    <row r="2" spans="2:17" ht="23.25" x14ac:dyDescent="0.25">
      <c r="B2" s="3"/>
    </row>
    <row r="14" spans="2:17" x14ac:dyDescent="0.25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2:17" ht="31.5" customHeight="1" x14ac:dyDescent="0.25">
      <c r="B15" s="4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  <c r="Q15" s="41"/>
    </row>
    <row r="16" spans="2:17" ht="31.5" customHeight="1" x14ac:dyDescent="0.25">
      <c r="B16" s="4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41"/>
    </row>
    <row r="17" spans="2:17" ht="31.5" customHeight="1" x14ac:dyDescent="0.25">
      <c r="B17" s="42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41"/>
    </row>
    <row r="18" spans="2:17" ht="31.5" customHeight="1" x14ac:dyDescent="0.25">
      <c r="B18" s="42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41"/>
    </row>
    <row r="19" spans="2:17" ht="31.5" customHeight="1" x14ac:dyDescent="0.25">
      <c r="B19" s="42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/>
      <c r="Q19" s="41"/>
    </row>
    <row r="20" spans="2:17" ht="31.5" customHeight="1" x14ac:dyDescent="0.25">
      <c r="B20" s="42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41"/>
    </row>
    <row r="21" spans="2:17" ht="31.5" customHeight="1" x14ac:dyDescent="0.25">
      <c r="B21" s="42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41"/>
    </row>
    <row r="22" spans="2:17" ht="31.5" customHeight="1" x14ac:dyDescent="0.25">
      <c r="B22" s="42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41"/>
    </row>
    <row r="23" spans="2:17" ht="31.5" customHeight="1" x14ac:dyDescent="0.25">
      <c r="B23" s="43" t="s">
        <v>151</v>
      </c>
      <c r="C23" s="38"/>
      <c r="D23" s="38"/>
      <c r="E23" s="38"/>
      <c r="F23" s="38"/>
      <c r="G23" s="38"/>
      <c r="H23" s="38"/>
      <c r="I23" s="38"/>
      <c r="J23" s="38"/>
      <c r="K23" s="38"/>
      <c r="L23" s="41"/>
      <c r="P23" s="41"/>
      <c r="Q23" s="41"/>
    </row>
    <row r="24" spans="2:17" ht="21" customHeight="1" x14ac:dyDescent="0.25">
      <c r="I24" s="6" t="s">
        <v>149</v>
      </c>
    </row>
    <row r="25" spans="2:17" x14ac:dyDescent="0.25">
      <c r="B25" t="s">
        <v>20</v>
      </c>
      <c r="C25" t="s">
        <v>51</v>
      </c>
      <c r="D25" t="s">
        <v>16</v>
      </c>
      <c r="E25" t="s">
        <v>15</v>
      </c>
      <c r="F25" t="s">
        <v>17</v>
      </c>
      <c r="G25" t="s">
        <v>18</v>
      </c>
      <c r="I25" s="19" t="s">
        <v>20</v>
      </c>
      <c r="J25" s="25" t="s">
        <v>51</v>
      </c>
      <c r="K25" s="21" t="s">
        <v>15</v>
      </c>
    </row>
    <row r="26" spans="2:17" x14ac:dyDescent="0.25">
      <c r="B26" t="s">
        <v>27</v>
      </c>
      <c r="C26">
        <v>1153214</v>
      </c>
      <c r="D26">
        <v>349</v>
      </c>
      <c r="E26">
        <v>0.63110307414104883</v>
      </c>
      <c r="F26">
        <v>553</v>
      </c>
      <c r="G26">
        <v>3304.3381088825213</v>
      </c>
      <c r="I26" s="12" t="s">
        <v>27</v>
      </c>
      <c r="J26" s="14">
        <v>1153214</v>
      </c>
      <c r="K26" s="15">
        <v>0.63110307414104883</v>
      </c>
    </row>
    <row r="27" spans="2:17" x14ac:dyDescent="0.25">
      <c r="B27" t="s">
        <v>47</v>
      </c>
      <c r="C27">
        <v>478396</v>
      </c>
      <c r="D27">
        <v>221</v>
      </c>
      <c r="E27">
        <v>0.63688760806916422</v>
      </c>
      <c r="F27">
        <v>347</v>
      </c>
      <c r="G27">
        <v>2164.6877828054298</v>
      </c>
      <c r="I27" s="16" t="s">
        <v>47</v>
      </c>
      <c r="J27" s="17">
        <v>478396</v>
      </c>
      <c r="K27" s="18">
        <v>0.63688760806916422</v>
      </c>
    </row>
    <row r="28" spans="2:17" x14ac:dyDescent="0.25">
      <c r="B28" t="s">
        <v>36</v>
      </c>
      <c r="C28">
        <v>454298</v>
      </c>
      <c r="D28">
        <v>209</v>
      </c>
      <c r="E28">
        <v>0.62388059701492538</v>
      </c>
      <c r="F28">
        <v>335</v>
      </c>
      <c r="G28">
        <v>2173.6746411483255</v>
      </c>
      <c r="I28" s="16" t="s">
        <v>36</v>
      </c>
      <c r="J28" s="17">
        <v>454298</v>
      </c>
      <c r="K28" s="18">
        <v>0.62388059701492538</v>
      </c>
    </row>
    <row r="29" spans="2:17" x14ac:dyDescent="0.25">
      <c r="B29" t="s">
        <v>23</v>
      </c>
      <c r="C29">
        <v>450489</v>
      </c>
      <c r="D29">
        <v>163</v>
      </c>
      <c r="E29">
        <v>0.62452107279693492</v>
      </c>
      <c r="F29">
        <v>261</v>
      </c>
      <c r="G29">
        <v>2763.7361963190183</v>
      </c>
      <c r="I29" s="16" t="s">
        <v>23</v>
      </c>
      <c r="J29" s="17">
        <v>450489</v>
      </c>
      <c r="K29" s="18">
        <v>0.62452107279693492</v>
      </c>
    </row>
    <row r="30" spans="2:17" x14ac:dyDescent="0.25">
      <c r="B30" t="s">
        <v>28</v>
      </c>
      <c r="C30">
        <v>445860</v>
      </c>
      <c r="D30">
        <v>158</v>
      </c>
      <c r="E30">
        <v>0.57454545454545458</v>
      </c>
      <c r="F30">
        <v>275</v>
      </c>
      <c r="G30">
        <v>2821.8987341772154</v>
      </c>
      <c r="I30" s="16" t="s">
        <v>28</v>
      </c>
      <c r="J30" s="17">
        <v>445860</v>
      </c>
      <c r="K30" s="18">
        <v>0.57454545454545458</v>
      </c>
    </row>
    <row r="31" spans="2:17" x14ac:dyDescent="0.25">
      <c r="B31" t="s">
        <v>43</v>
      </c>
      <c r="C31">
        <v>438336</v>
      </c>
      <c r="D31">
        <v>155</v>
      </c>
      <c r="E31">
        <v>0.65400843881856541</v>
      </c>
      <c r="F31">
        <v>237</v>
      </c>
      <c r="G31">
        <v>2827.9741935483871</v>
      </c>
      <c r="I31" s="16" t="s">
        <v>43</v>
      </c>
      <c r="J31" s="17">
        <v>438336</v>
      </c>
      <c r="K31" s="18">
        <v>0.65400843881856541</v>
      </c>
    </row>
    <row r="32" spans="2:17" x14ac:dyDescent="0.25">
      <c r="B32" t="s">
        <v>50</v>
      </c>
      <c r="C32">
        <v>430068</v>
      </c>
      <c r="D32">
        <v>161</v>
      </c>
      <c r="E32">
        <v>0.61685823754789271</v>
      </c>
      <c r="F32">
        <v>261</v>
      </c>
      <c r="G32">
        <v>2671.2298136645963</v>
      </c>
      <c r="I32" s="16" t="s">
        <v>50</v>
      </c>
      <c r="J32" s="17">
        <v>430068</v>
      </c>
      <c r="K32" s="18">
        <v>0.61685823754789271</v>
      </c>
    </row>
    <row r="33" spans="2:11" x14ac:dyDescent="0.25">
      <c r="B33" t="s">
        <v>25</v>
      </c>
      <c r="C33">
        <v>421036</v>
      </c>
      <c r="D33">
        <v>150</v>
      </c>
      <c r="E33">
        <v>0.65502183406113534</v>
      </c>
      <c r="F33">
        <v>229</v>
      </c>
      <c r="G33">
        <v>2806.9066666666668</v>
      </c>
      <c r="I33" s="16" t="s">
        <v>25</v>
      </c>
      <c r="J33" s="17">
        <v>421036</v>
      </c>
      <c r="K33" s="18">
        <v>0.65502183406113534</v>
      </c>
    </row>
    <row r="34" spans="2:11" x14ac:dyDescent="0.25">
      <c r="B34" t="s">
        <v>33</v>
      </c>
      <c r="C34">
        <v>413533</v>
      </c>
      <c r="D34">
        <v>135</v>
      </c>
      <c r="E34">
        <v>0.65533980582524276</v>
      </c>
      <c r="F34">
        <v>206</v>
      </c>
      <c r="G34">
        <v>3063.2074074074076</v>
      </c>
      <c r="I34" s="16" t="s">
        <v>33</v>
      </c>
      <c r="J34" s="17">
        <v>413533</v>
      </c>
      <c r="K34" s="18">
        <v>0.65533980582524276</v>
      </c>
    </row>
    <row r="35" spans="2:11" x14ac:dyDescent="0.25">
      <c r="B35" t="s">
        <v>26</v>
      </c>
      <c r="C35">
        <v>364229</v>
      </c>
      <c r="D35">
        <v>114</v>
      </c>
      <c r="E35">
        <v>0.60962566844919786</v>
      </c>
      <c r="F35">
        <v>187</v>
      </c>
      <c r="G35">
        <v>3194.9912280701756</v>
      </c>
      <c r="I35" s="16" t="s">
        <v>26</v>
      </c>
      <c r="J35" s="17">
        <v>364229</v>
      </c>
      <c r="K35" s="18">
        <v>0.60962566844919786</v>
      </c>
    </row>
    <row r="36" spans="2:11" hidden="1" x14ac:dyDescent="0.25">
      <c r="B36" t="s">
        <v>40</v>
      </c>
      <c r="C36">
        <v>350395</v>
      </c>
      <c r="D36">
        <v>149</v>
      </c>
      <c r="E36">
        <v>0.69953051643192488</v>
      </c>
      <c r="F36">
        <v>213</v>
      </c>
      <c r="G36">
        <v>2351.6442953020132</v>
      </c>
      <c r="I36" s="22" t="s">
        <v>5</v>
      </c>
      <c r="J36" s="23">
        <v>5049459</v>
      </c>
      <c r="K36" s="24">
        <v>0.62781044621238324</v>
      </c>
    </row>
    <row r="37" spans="2:11" hidden="1" x14ac:dyDescent="0.25">
      <c r="B37" t="s">
        <v>31</v>
      </c>
      <c r="C37">
        <v>345674</v>
      </c>
      <c r="D37">
        <v>135</v>
      </c>
      <c r="E37">
        <v>0.5818965517241379</v>
      </c>
      <c r="F37">
        <v>232</v>
      </c>
      <c r="G37">
        <v>2560.5481481481484</v>
      </c>
    </row>
    <row r="38" spans="2:11" hidden="1" x14ac:dyDescent="0.25">
      <c r="B38" t="s">
        <v>38</v>
      </c>
      <c r="C38">
        <v>328792</v>
      </c>
      <c r="D38">
        <v>130</v>
      </c>
      <c r="E38">
        <v>0.57268722466960353</v>
      </c>
      <c r="F38">
        <v>227</v>
      </c>
      <c r="G38">
        <v>2529.1692307692306</v>
      </c>
    </row>
    <row r="39" spans="2:11" hidden="1" x14ac:dyDescent="0.25">
      <c r="B39" t="s">
        <v>35</v>
      </c>
      <c r="C39">
        <v>316456</v>
      </c>
      <c r="D39">
        <v>174</v>
      </c>
      <c r="E39">
        <v>0.63970588235294112</v>
      </c>
      <c r="F39">
        <v>272</v>
      </c>
      <c r="G39">
        <v>1818.7126436781609</v>
      </c>
    </row>
    <row r="40" spans="2:11" hidden="1" x14ac:dyDescent="0.25">
      <c r="B40" t="s">
        <v>39</v>
      </c>
      <c r="C40">
        <v>291195</v>
      </c>
      <c r="D40">
        <v>122</v>
      </c>
      <c r="E40">
        <v>0.62886597938144329</v>
      </c>
      <c r="F40">
        <v>194</v>
      </c>
      <c r="G40">
        <v>2386.844262295082</v>
      </c>
    </row>
    <row r="41" spans="2:11" hidden="1" x14ac:dyDescent="0.25">
      <c r="B41" t="s">
        <v>29</v>
      </c>
      <c r="C41">
        <v>289195</v>
      </c>
      <c r="D41">
        <v>80</v>
      </c>
      <c r="E41">
        <v>0.63492063492063489</v>
      </c>
      <c r="F41">
        <v>126</v>
      </c>
      <c r="G41">
        <v>3614.9375</v>
      </c>
    </row>
    <row r="42" spans="2:11" hidden="1" x14ac:dyDescent="0.25">
      <c r="B42" t="s">
        <v>34</v>
      </c>
      <c r="C42">
        <v>284886</v>
      </c>
      <c r="D42">
        <v>171</v>
      </c>
      <c r="E42">
        <v>0.64772727272727271</v>
      </c>
      <c r="F42">
        <v>264</v>
      </c>
      <c r="G42">
        <v>1666</v>
      </c>
    </row>
    <row r="43" spans="2:11" hidden="1" x14ac:dyDescent="0.25">
      <c r="B43" t="s">
        <v>21</v>
      </c>
      <c r="C43">
        <v>275056</v>
      </c>
      <c r="D43">
        <v>208</v>
      </c>
      <c r="E43">
        <v>0.61904761904761907</v>
      </c>
      <c r="F43">
        <v>336</v>
      </c>
      <c r="G43">
        <v>1322.3846153846155</v>
      </c>
    </row>
    <row r="44" spans="2:11" hidden="1" x14ac:dyDescent="0.25">
      <c r="B44" t="s">
        <v>32</v>
      </c>
      <c r="C44">
        <v>272111</v>
      </c>
      <c r="D44">
        <v>107</v>
      </c>
      <c r="E44">
        <v>0.70394736842105265</v>
      </c>
      <c r="F44">
        <v>152</v>
      </c>
      <c r="G44">
        <v>2543.0934579439254</v>
      </c>
    </row>
    <row r="45" spans="2:11" hidden="1" x14ac:dyDescent="0.25">
      <c r="B45" t="s">
        <v>22</v>
      </c>
      <c r="C45">
        <v>261631</v>
      </c>
      <c r="D45">
        <v>101</v>
      </c>
      <c r="E45">
        <v>0.66013071895424835</v>
      </c>
      <c r="F45">
        <v>153</v>
      </c>
      <c r="G45">
        <v>2590.4059405940593</v>
      </c>
    </row>
    <row r="46" spans="2:11" hidden="1" x14ac:dyDescent="0.25">
      <c r="B46" t="s">
        <v>44</v>
      </c>
      <c r="C46">
        <v>235403</v>
      </c>
      <c r="D46">
        <v>72</v>
      </c>
      <c r="E46">
        <v>0.65454545454545454</v>
      </c>
      <c r="F46">
        <v>110</v>
      </c>
      <c r="G46">
        <v>3269.4861111111113</v>
      </c>
    </row>
    <row r="47" spans="2:11" hidden="1" x14ac:dyDescent="0.25">
      <c r="B47" t="s">
        <v>45</v>
      </c>
      <c r="C47">
        <v>230169</v>
      </c>
      <c r="D47">
        <v>78</v>
      </c>
      <c r="E47">
        <v>0.64462809917355368</v>
      </c>
      <c r="F47">
        <v>121</v>
      </c>
      <c r="G47">
        <v>2950.8846153846152</v>
      </c>
    </row>
    <row r="48" spans="2:11" hidden="1" x14ac:dyDescent="0.25">
      <c r="B48" t="s">
        <v>24</v>
      </c>
      <c r="C48">
        <v>229800</v>
      </c>
      <c r="D48">
        <v>107</v>
      </c>
      <c r="E48">
        <v>0.66874999999999996</v>
      </c>
      <c r="F48">
        <v>160</v>
      </c>
      <c r="G48">
        <v>2147.663551401869</v>
      </c>
    </row>
    <row r="49" spans="2:7" hidden="1" x14ac:dyDescent="0.25">
      <c r="B49" t="s">
        <v>41</v>
      </c>
      <c r="C49">
        <v>207182</v>
      </c>
      <c r="D49">
        <v>129</v>
      </c>
      <c r="E49">
        <v>0.66153846153846152</v>
      </c>
      <c r="F49">
        <v>195</v>
      </c>
      <c r="G49">
        <v>1606.062015503876</v>
      </c>
    </row>
    <row r="50" spans="2:7" hidden="1" x14ac:dyDescent="0.25">
      <c r="B50" t="s">
        <v>30</v>
      </c>
      <c r="C50">
        <v>197773</v>
      </c>
      <c r="D50">
        <v>75</v>
      </c>
      <c r="E50">
        <v>0.6097560975609756</v>
      </c>
      <c r="F50">
        <v>123</v>
      </c>
      <c r="G50">
        <v>2636.9733333333334</v>
      </c>
    </row>
    <row r="51" spans="2:7" hidden="1" x14ac:dyDescent="0.25">
      <c r="B51" t="s">
        <v>37</v>
      </c>
      <c r="C51">
        <v>194632</v>
      </c>
      <c r="D51">
        <v>127</v>
      </c>
      <c r="E51">
        <v>0.54978354978354982</v>
      </c>
      <c r="F51">
        <v>231</v>
      </c>
      <c r="G51">
        <v>1532.5354330708662</v>
      </c>
    </row>
    <row r="52" spans="2:7" hidden="1" x14ac:dyDescent="0.25">
      <c r="B52" t="s">
        <v>46</v>
      </c>
      <c r="C52">
        <v>187693</v>
      </c>
      <c r="D52">
        <v>176</v>
      </c>
      <c r="E52">
        <v>0.66666666666666663</v>
      </c>
      <c r="F52">
        <v>264</v>
      </c>
      <c r="G52">
        <v>1066.4375</v>
      </c>
    </row>
    <row r="53" spans="2:7" hidden="1" x14ac:dyDescent="0.25">
      <c r="B53" t="s">
        <v>42</v>
      </c>
      <c r="C53">
        <v>176961</v>
      </c>
      <c r="D53">
        <v>105</v>
      </c>
      <c r="E53">
        <v>0.6</v>
      </c>
      <c r="F53">
        <v>175</v>
      </c>
      <c r="G53">
        <v>1685.3428571428572</v>
      </c>
    </row>
    <row r="54" spans="2:7" hidden="1" x14ac:dyDescent="0.25">
      <c r="B54" t="s">
        <v>49</v>
      </c>
      <c r="C54">
        <v>157640</v>
      </c>
      <c r="D54">
        <v>55</v>
      </c>
      <c r="E54">
        <v>0.69620253164556967</v>
      </c>
      <c r="F54">
        <v>79</v>
      </c>
      <c r="G54">
        <v>2866.181818181818</v>
      </c>
    </row>
    <row r="55" spans="2:7" hidden="1" x14ac:dyDescent="0.25">
      <c r="B55" t="s">
        <v>48</v>
      </c>
      <c r="C55">
        <v>123431</v>
      </c>
      <c r="D55">
        <v>122</v>
      </c>
      <c r="E55">
        <v>0.63212435233160624</v>
      </c>
      <c r="F55">
        <v>193</v>
      </c>
      <c r="G55">
        <v>1011.7295081967213</v>
      </c>
    </row>
    <row r="112" spans="10:10" x14ac:dyDescent="0.25">
      <c r="J112" s="6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D825-6C8C-494F-B63E-F3A5BB631E4A}">
  <dimension ref="B2:K20"/>
  <sheetViews>
    <sheetView showGridLines="0" showRowColHeaders="0" topLeftCell="A10" zoomScale="120" workbookViewId="0">
      <selection activeCell="N31" sqref="N31"/>
    </sheetView>
  </sheetViews>
  <sheetFormatPr defaultRowHeight="15" x14ac:dyDescent="0.25"/>
  <cols>
    <col min="2" max="2" width="16.7109375" customWidth="1"/>
    <col min="3" max="3" width="13.7109375" bestFit="1" customWidth="1"/>
    <col min="4" max="4" width="18.42578125" bestFit="1" customWidth="1"/>
    <col min="5" max="5" width="9.140625" bestFit="1" customWidth="1"/>
    <col min="6" max="6" width="24.140625" bestFit="1" customWidth="1"/>
    <col min="7" max="7" width="14.7109375" bestFit="1" customWidth="1"/>
    <col min="8" max="8" width="3.7109375" customWidth="1"/>
    <col min="9" max="9" width="18.85546875" bestFit="1" customWidth="1"/>
    <col min="10" max="10" width="13.7109375" bestFit="1" customWidth="1"/>
    <col min="11" max="11" width="9.28515625" bestFit="1" customWidth="1"/>
    <col min="12" max="12" width="9.140625" bestFit="1" customWidth="1"/>
    <col min="13" max="13" width="14.7109375" bestFit="1" customWidth="1"/>
    <col min="14" max="14" width="9.28515625" bestFit="1" customWidth="1"/>
  </cols>
  <sheetData>
    <row r="2" spans="2:11" ht="23.25" x14ac:dyDescent="0.25">
      <c r="B2" s="3"/>
    </row>
    <row r="12" spans="2:11" ht="31.5" customHeight="1" x14ac:dyDescent="0.25">
      <c r="B12" s="9" t="s">
        <v>57</v>
      </c>
      <c r="C12" s="8"/>
      <c r="D12" s="8"/>
      <c r="E12" s="8"/>
      <c r="F12" s="8"/>
      <c r="G12" s="8"/>
      <c r="H12" s="8"/>
      <c r="I12" s="8"/>
      <c r="J12" s="8"/>
      <c r="K12" s="8"/>
    </row>
    <row r="13" spans="2:11" x14ac:dyDescent="0.25">
      <c r="I13" s="6" t="s">
        <v>149</v>
      </c>
    </row>
    <row r="14" spans="2:11" x14ac:dyDescent="0.25">
      <c r="B14" s="1" t="s">
        <v>53</v>
      </c>
      <c r="C14" t="s">
        <v>51</v>
      </c>
      <c r="D14" t="s">
        <v>16</v>
      </c>
      <c r="E14" t="s">
        <v>15</v>
      </c>
      <c r="F14" t="s">
        <v>17</v>
      </c>
      <c r="G14" t="s">
        <v>18</v>
      </c>
      <c r="I14" s="13" t="s">
        <v>53</v>
      </c>
      <c r="J14" s="20" t="s">
        <v>51</v>
      </c>
      <c r="K14" s="26" t="s">
        <v>15</v>
      </c>
    </row>
    <row r="15" spans="2:11" x14ac:dyDescent="0.25">
      <c r="B15" t="s">
        <v>56</v>
      </c>
      <c r="C15" s="2">
        <v>3568647</v>
      </c>
      <c r="D15" s="4">
        <v>1438</v>
      </c>
      <c r="E15" s="5">
        <v>0.63939528679413071</v>
      </c>
      <c r="F15" s="4">
        <v>2249</v>
      </c>
      <c r="G15" s="2">
        <v>2481.6738525730179</v>
      </c>
      <c r="I15" s="12" t="s">
        <v>56</v>
      </c>
      <c r="J15" s="14">
        <v>3568647</v>
      </c>
      <c r="K15" s="15">
        <v>0.63939528679413071</v>
      </c>
    </row>
    <row r="16" spans="2:11" x14ac:dyDescent="0.25">
      <c r="B16" t="s">
        <v>54</v>
      </c>
      <c r="C16" s="2">
        <v>3346293</v>
      </c>
      <c r="D16" s="4">
        <v>1629</v>
      </c>
      <c r="E16" s="5">
        <v>0.62557603686635943</v>
      </c>
      <c r="F16" s="4">
        <v>2604</v>
      </c>
      <c r="G16" s="2">
        <v>2054.2007366482503</v>
      </c>
      <c r="I16" s="16" t="s">
        <v>54</v>
      </c>
      <c r="J16" s="17">
        <v>3346293</v>
      </c>
      <c r="K16" s="18">
        <v>0.62557603686635943</v>
      </c>
    </row>
    <row r="17" spans="2:11" x14ac:dyDescent="0.25">
      <c r="B17" t="s">
        <v>55</v>
      </c>
      <c r="C17" s="2">
        <v>3090594</v>
      </c>
      <c r="D17" s="4">
        <v>1171</v>
      </c>
      <c r="E17" s="5">
        <v>0.63024757804090414</v>
      </c>
      <c r="F17" s="4">
        <v>1858</v>
      </c>
      <c r="G17" s="2">
        <v>2639.2775405636207</v>
      </c>
      <c r="I17" s="16" t="s">
        <v>55</v>
      </c>
      <c r="J17" s="17">
        <v>3090594</v>
      </c>
      <c r="K17" s="18">
        <v>0.63024757804090414</v>
      </c>
    </row>
    <row r="18" spans="2:11" x14ac:dyDescent="0.25">
      <c r="B18" t="s">
        <v>5</v>
      </c>
      <c r="C18" s="2">
        <v>10005534</v>
      </c>
      <c r="D18" s="4">
        <v>4238</v>
      </c>
      <c r="E18" s="5">
        <v>0.63150052153181346</v>
      </c>
      <c r="F18" s="4">
        <v>6711</v>
      </c>
      <c r="G18" s="2">
        <v>2360.9093912222747</v>
      </c>
      <c r="I18" s="22" t="s">
        <v>5</v>
      </c>
      <c r="J18" s="23">
        <v>10005534</v>
      </c>
      <c r="K18" s="24">
        <v>0.63150052153181346</v>
      </c>
    </row>
    <row r="20" spans="2:11" x14ac:dyDescent="0.25">
      <c r="G20" t="s">
        <v>52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689F-7CD3-4AC9-B2CE-0C3675EC7685}">
  <dimension ref="B3:N104"/>
  <sheetViews>
    <sheetView showGridLines="0" showRowColHeaders="0" zoomScale="32" zoomScaleNormal="115" workbookViewId="0">
      <selection activeCell="U130" sqref="U130"/>
    </sheetView>
  </sheetViews>
  <sheetFormatPr defaultRowHeight="15" x14ac:dyDescent="0.25"/>
  <cols>
    <col min="2" max="2" width="32" bestFit="1" customWidth="1"/>
    <col min="3" max="3" width="20" customWidth="1"/>
    <col min="4" max="5" width="27" customWidth="1"/>
    <col min="6" max="6" width="34.7109375" customWidth="1"/>
    <col min="7" max="7" width="16.5703125" bestFit="1" customWidth="1"/>
    <col min="8" max="8" width="22.42578125" customWidth="1"/>
    <col min="9" max="9" width="5.42578125" customWidth="1"/>
    <col min="10" max="10" width="16" bestFit="1" customWidth="1"/>
    <col min="11" max="11" width="19.28515625" bestFit="1" customWidth="1"/>
    <col min="12" max="14" width="12.42578125" bestFit="1" customWidth="1"/>
    <col min="15" max="15" width="19.7109375" bestFit="1" customWidth="1"/>
    <col min="33" max="33" width="13.28515625" bestFit="1" customWidth="1"/>
    <col min="34" max="37" width="9.28515625" bestFit="1" customWidth="1"/>
    <col min="38" max="38" width="10.85546875" bestFit="1" customWidth="1"/>
  </cols>
  <sheetData>
    <row r="3" spans="2:12" ht="18" x14ac:dyDescent="0.25">
      <c r="B3" s="27"/>
    </row>
    <row r="16" spans="2:12" ht="32.25" customHeight="1" x14ac:dyDescent="0.5">
      <c r="B16" s="45" t="s">
        <v>152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spans="2:14" ht="22.5" customHeight="1" x14ac:dyDescent="0.25">
      <c r="J17" s="6" t="s">
        <v>149</v>
      </c>
    </row>
    <row r="18" spans="2:14" x14ac:dyDescent="0.25">
      <c r="B18" t="s">
        <v>58</v>
      </c>
      <c r="C18" t="s">
        <v>51</v>
      </c>
      <c r="D18" t="s">
        <v>16</v>
      </c>
      <c r="E18" t="s">
        <v>144</v>
      </c>
      <c r="F18" t="s">
        <v>17</v>
      </c>
      <c r="G18" t="s">
        <v>15</v>
      </c>
      <c r="H18" t="s">
        <v>18</v>
      </c>
      <c r="J18" s="19" t="s">
        <v>58</v>
      </c>
      <c r="K18" s="20" t="s">
        <v>51</v>
      </c>
      <c r="L18" s="26" t="s">
        <v>15</v>
      </c>
    </row>
    <row r="19" spans="2:14" x14ac:dyDescent="0.25">
      <c r="B19" t="s">
        <v>100</v>
      </c>
      <c r="C19">
        <v>341455</v>
      </c>
      <c r="D19">
        <v>115</v>
      </c>
      <c r="E19">
        <v>72</v>
      </c>
      <c r="F19">
        <v>187</v>
      </c>
      <c r="G19">
        <v>0.61497326203208558</v>
      </c>
      <c r="H19">
        <v>2969.1739130434785</v>
      </c>
      <c r="J19" s="12" t="s">
        <v>100</v>
      </c>
      <c r="K19" s="14">
        <v>341455</v>
      </c>
      <c r="L19" s="15">
        <v>0.61497326203208558</v>
      </c>
      <c r="N19" s="5"/>
    </row>
    <row r="20" spans="2:14" x14ac:dyDescent="0.25">
      <c r="B20" t="s">
        <v>102</v>
      </c>
      <c r="C20">
        <v>269245</v>
      </c>
      <c r="D20">
        <v>108</v>
      </c>
      <c r="E20">
        <v>63</v>
      </c>
      <c r="F20">
        <v>171</v>
      </c>
      <c r="G20">
        <v>0.63157894736842102</v>
      </c>
      <c r="H20">
        <v>2493.0092592592591</v>
      </c>
      <c r="J20" s="16" t="s">
        <v>102</v>
      </c>
      <c r="K20" s="17">
        <v>269245</v>
      </c>
      <c r="L20" s="18">
        <v>0.63157894736842102</v>
      </c>
    </row>
    <row r="21" spans="2:14" x14ac:dyDescent="0.25">
      <c r="B21" t="s">
        <v>70</v>
      </c>
      <c r="C21">
        <v>206410</v>
      </c>
      <c r="D21">
        <v>105</v>
      </c>
      <c r="E21">
        <v>54</v>
      </c>
      <c r="F21">
        <v>159</v>
      </c>
      <c r="G21">
        <v>0.660377358490566</v>
      </c>
      <c r="H21">
        <v>1965.8095238095239</v>
      </c>
      <c r="J21" s="16" t="s">
        <v>70</v>
      </c>
      <c r="K21" s="17">
        <v>206410</v>
      </c>
      <c r="L21" s="18">
        <v>0.660377358490566</v>
      </c>
    </row>
    <row r="22" spans="2:14" x14ac:dyDescent="0.25">
      <c r="B22" t="s">
        <v>68</v>
      </c>
      <c r="C22">
        <v>198020</v>
      </c>
      <c r="D22">
        <v>57</v>
      </c>
      <c r="E22">
        <v>33</v>
      </c>
      <c r="F22">
        <v>90</v>
      </c>
      <c r="G22">
        <v>0.6333333333333333</v>
      </c>
      <c r="H22">
        <v>3474.0350877192982</v>
      </c>
      <c r="J22" s="16" t="s">
        <v>68</v>
      </c>
      <c r="K22" s="17">
        <v>198020</v>
      </c>
      <c r="L22" s="18">
        <v>0.6333333333333333</v>
      </c>
    </row>
    <row r="23" spans="2:14" x14ac:dyDescent="0.25">
      <c r="B23" t="s">
        <v>94</v>
      </c>
      <c r="C23">
        <v>194957</v>
      </c>
      <c r="D23">
        <v>111</v>
      </c>
      <c r="E23">
        <v>82</v>
      </c>
      <c r="F23">
        <v>193</v>
      </c>
      <c r="G23">
        <v>0.57512953367875652</v>
      </c>
      <c r="H23">
        <v>1756.3693693693695</v>
      </c>
      <c r="J23" s="16" t="s">
        <v>94</v>
      </c>
      <c r="K23" s="17">
        <v>194957</v>
      </c>
      <c r="L23" s="18">
        <v>0.57512953367875652</v>
      </c>
    </row>
    <row r="24" spans="2:14" x14ac:dyDescent="0.25">
      <c r="B24" t="s">
        <v>90</v>
      </c>
      <c r="C24">
        <v>182522</v>
      </c>
      <c r="D24">
        <v>65</v>
      </c>
      <c r="E24">
        <v>23</v>
      </c>
      <c r="F24">
        <v>88</v>
      </c>
      <c r="G24">
        <v>0.73863636363636365</v>
      </c>
      <c r="H24">
        <v>2808.0307692307692</v>
      </c>
      <c r="J24" s="16" t="s">
        <v>90</v>
      </c>
      <c r="K24" s="17">
        <v>182522</v>
      </c>
      <c r="L24" s="18">
        <v>0.73863636363636365</v>
      </c>
    </row>
    <row r="25" spans="2:14" x14ac:dyDescent="0.25">
      <c r="B25" t="s">
        <v>131</v>
      </c>
      <c r="C25">
        <v>176751</v>
      </c>
      <c r="D25">
        <v>65</v>
      </c>
      <c r="E25">
        <v>41</v>
      </c>
      <c r="F25">
        <v>106</v>
      </c>
      <c r="G25">
        <v>0.6132075471698113</v>
      </c>
      <c r="H25">
        <v>2719.2461538461539</v>
      </c>
      <c r="J25" s="16" t="s">
        <v>131</v>
      </c>
      <c r="K25" s="17">
        <v>176751</v>
      </c>
      <c r="L25" s="18">
        <v>0.6132075471698113</v>
      </c>
    </row>
    <row r="26" spans="2:14" x14ac:dyDescent="0.25">
      <c r="B26" t="s">
        <v>134</v>
      </c>
      <c r="C26">
        <v>170046</v>
      </c>
      <c r="D26">
        <v>70</v>
      </c>
      <c r="E26">
        <v>31</v>
      </c>
      <c r="F26">
        <v>101</v>
      </c>
      <c r="G26">
        <v>0.69306930693069302</v>
      </c>
      <c r="H26">
        <v>2429.2285714285713</v>
      </c>
      <c r="J26" s="16" t="s">
        <v>134</v>
      </c>
      <c r="K26" s="17">
        <v>170046</v>
      </c>
      <c r="L26" s="18">
        <v>0.69306930693069302</v>
      </c>
    </row>
    <row r="27" spans="2:14" x14ac:dyDescent="0.25">
      <c r="B27" t="s">
        <v>135</v>
      </c>
      <c r="C27">
        <v>169357</v>
      </c>
      <c r="D27">
        <v>48</v>
      </c>
      <c r="E27">
        <v>31</v>
      </c>
      <c r="F27">
        <v>79</v>
      </c>
      <c r="G27">
        <v>0.60759493670886078</v>
      </c>
      <c r="H27">
        <v>3528.2708333333335</v>
      </c>
      <c r="J27" s="16" t="s">
        <v>135</v>
      </c>
      <c r="K27" s="17">
        <v>169357</v>
      </c>
      <c r="L27" s="18">
        <v>0.60759493670886078</v>
      </c>
    </row>
    <row r="28" spans="2:14" x14ac:dyDescent="0.25">
      <c r="B28" t="s">
        <v>97</v>
      </c>
      <c r="C28">
        <v>164683</v>
      </c>
      <c r="D28">
        <v>65</v>
      </c>
      <c r="E28">
        <v>47</v>
      </c>
      <c r="F28">
        <v>112</v>
      </c>
      <c r="G28">
        <v>0.5803571428571429</v>
      </c>
      <c r="H28">
        <v>2533.5846153846155</v>
      </c>
      <c r="J28" s="16" t="s">
        <v>97</v>
      </c>
      <c r="K28" s="17">
        <v>164683</v>
      </c>
      <c r="L28" s="18">
        <v>0.5803571428571429</v>
      </c>
    </row>
    <row r="29" spans="2:14" hidden="1" x14ac:dyDescent="0.25">
      <c r="B29" t="s">
        <v>122</v>
      </c>
      <c r="C29">
        <v>163339</v>
      </c>
      <c r="D29">
        <v>72</v>
      </c>
      <c r="E29">
        <v>32</v>
      </c>
      <c r="F29">
        <v>104</v>
      </c>
      <c r="G29">
        <v>0.69230769230769229</v>
      </c>
      <c r="H29">
        <v>2268.5972222222222</v>
      </c>
      <c r="J29" s="22" t="s">
        <v>5</v>
      </c>
      <c r="K29" s="23">
        <v>2073446</v>
      </c>
      <c r="L29" s="24">
        <v>0.62908242612752718</v>
      </c>
    </row>
    <row r="30" spans="2:14" hidden="1" x14ac:dyDescent="0.25">
      <c r="B30" t="s">
        <v>107</v>
      </c>
      <c r="C30">
        <v>163339</v>
      </c>
      <c r="D30">
        <v>52</v>
      </c>
      <c r="E30">
        <v>29</v>
      </c>
      <c r="F30">
        <v>81</v>
      </c>
      <c r="G30">
        <v>0.64197530864197527</v>
      </c>
      <c r="H30">
        <v>3141.1346153846152</v>
      </c>
    </row>
    <row r="31" spans="2:14" hidden="1" x14ac:dyDescent="0.25">
      <c r="B31" t="s">
        <v>119</v>
      </c>
      <c r="C31">
        <v>162725</v>
      </c>
      <c r="D31">
        <v>67</v>
      </c>
      <c r="E31">
        <v>31</v>
      </c>
      <c r="F31">
        <v>98</v>
      </c>
      <c r="G31">
        <v>0.68367346938775508</v>
      </c>
      <c r="H31">
        <v>2428.7313432835822</v>
      </c>
    </row>
    <row r="32" spans="2:14" hidden="1" x14ac:dyDescent="0.25">
      <c r="B32" t="s">
        <v>114</v>
      </c>
      <c r="C32">
        <v>155195</v>
      </c>
      <c r="D32">
        <v>55</v>
      </c>
      <c r="E32">
        <v>36</v>
      </c>
      <c r="F32">
        <v>91</v>
      </c>
      <c r="G32">
        <v>0.60439560439560436</v>
      </c>
      <c r="H32">
        <v>2821.7272727272725</v>
      </c>
    </row>
    <row r="33" spans="2:8" hidden="1" x14ac:dyDescent="0.25">
      <c r="B33" t="s">
        <v>132</v>
      </c>
      <c r="C33">
        <v>152701</v>
      </c>
      <c r="D33">
        <v>48</v>
      </c>
      <c r="E33">
        <v>29</v>
      </c>
      <c r="F33">
        <v>77</v>
      </c>
      <c r="G33">
        <v>0.62337662337662336</v>
      </c>
      <c r="H33">
        <v>3181.2708333333335</v>
      </c>
    </row>
    <row r="34" spans="2:8" hidden="1" x14ac:dyDescent="0.25">
      <c r="B34" t="s">
        <v>115</v>
      </c>
      <c r="C34">
        <v>151777</v>
      </c>
      <c r="D34">
        <v>75</v>
      </c>
      <c r="E34">
        <v>25</v>
      </c>
      <c r="F34">
        <v>100</v>
      </c>
      <c r="G34">
        <v>0.75</v>
      </c>
      <c r="H34">
        <v>2023.6933333333334</v>
      </c>
    </row>
    <row r="35" spans="2:8" hidden="1" x14ac:dyDescent="0.25">
      <c r="B35" t="s">
        <v>76</v>
      </c>
      <c r="C35">
        <v>147976</v>
      </c>
      <c r="D35">
        <v>55</v>
      </c>
      <c r="E35">
        <v>22</v>
      </c>
      <c r="F35">
        <v>77</v>
      </c>
      <c r="G35">
        <v>0.7142857142857143</v>
      </c>
      <c r="H35">
        <v>2690.4727272727273</v>
      </c>
    </row>
    <row r="36" spans="2:8" hidden="1" x14ac:dyDescent="0.25">
      <c r="B36" t="s">
        <v>112</v>
      </c>
      <c r="C36">
        <v>144976</v>
      </c>
      <c r="D36">
        <v>47</v>
      </c>
      <c r="E36">
        <v>27</v>
      </c>
      <c r="F36">
        <v>74</v>
      </c>
      <c r="G36">
        <v>0.63513513513513509</v>
      </c>
      <c r="H36">
        <v>3084.5957446808511</v>
      </c>
    </row>
    <row r="37" spans="2:8" hidden="1" x14ac:dyDescent="0.25">
      <c r="B37" t="s">
        <v>124</v>
      </c>
      <c r="C37">
        <v>142711</v>
      </c>
      <c r="D37">
        <v>69</v>
      </c>
      <c r="E37">
        <v>31</v>
      </c>
      <c r="F37">
        <v>100</v>
      </c>
      <c r="G37">
        <v>0.69</v>
      </c>
      <c r="H37">
        <v>2068.2753623188405</v>
      </c>
    </row>
    <row r="38" spans="2:8" hidden="1" x14ac:dyDescent="0.25">
      <c r="B38" t="s">
        <v>96</v>
      </c>
      <c r="C38">
        <v>141858</v>
      </c>
      <c r="D38">
        <v>68</v>
      </c>
      <c r="E38">
        <v>32</v>
      </c>
      <c r="F38">
        <v>100</v>
      </c>
      <c r="G38">
        <v>0.68</v>
      </c>
      <c r="H38">
        <v>2086.1470588235293</v>
      </c>
    </row>
    <row r="39" spans="2:8" hidden="1" x14ac:dyDescent="0.25">
      <c r="B39" t="s">
        <v>69</v>
      </c>
      <c r="C39">
        <v>140183</v>
      </c>
      <c r="D39">
        <v>72</v>
      </c>
      <c r="E39">
        <v>45</v>
      </c>
      <c r="F39">
        <v>117</v>
      </c>
      <c r="G39">
        <v>0.61538461538461542</v>
      </c>
      <c r="H39">
        <v>1946.9861111111111</v>
      </c>
    </row>
    <row r="40" spans="2:8" hidden="1" x14ac:dyDescent="0.25">
      <c r="B40" t="s">
        <v>104</v>
      </c>
      <c r="C40">
        <v>140086</v>
      </c>
      <c r="D40">
        <v>46</v>
      </c>
      <c r="E40">
        <v>25</v>
      </c>
      <c r="F40">
        <v>71</v>
      </c>
      <c r="G40">
        <v>0.647887323943662</v>
      </c>
      <c r="H40">
        <v>3045.3478260869565</v>
      </c>
    </row>
    <row r="41" spans="2:8" hidden="1" x14ac:dyDescent="0.25">
      <c r="B41" t="s">
        <v>142</v>
      </c>
      <c r="C41">
        <v>138339</v>
      </c>
      <c r="D41">
        <v>47</v>
      </c>
      <c r="E41">
        <v>23</v>
      </c>
      <c r="F41">
        <v>70</v>
      </c>
      <c r="G41">
        <v>0.67142857142857137</v>
      </c>
      <c r="H41">
        <v>2943.3829787234044</v>
      </c>
    </row>
    <row r="42" spans="2:8" hidden="1" x14ac:dyDescent="0.25">
      <c r="B42" t="s">
        <v>136</v>
      </c>
      <c r="C42">
        <v>135346</v>
      </c>
      <c r="D42">
        <v>46</v>
      </c>
      <c r="E42">
        <v>37</v>
      </c>
      <c r="F42">
        <v>83</v>
      </c>
      <c r="G42">
        <v>0.55421686746987953</v>
      </c>
      <c r="H42">
        <v>2942.304347826087</v>
      </c>
    </row>
    <row r="43" spans="2:8" hidden="1" x14ac:dyDescent="0.25">
      <c r="B43" t="s">
        <v>85</v>
      </c>
      <c r="C43">
        <v>134731</v>
      </c>
      <c r="D43">
        <v>60</v>
      </c>
      <c r="E43">
        <v>25</v>
      </c>
      <c r="F43">
        <v>85</v>
      </c>
      <c r="G43">
        <v>0.70588235294117652</v>
      </c>
      <c r="H43">
        <v>2245.5166666666669</v>
      </c>
    </row>
    <row r="44" spans="2:8" hidden="1" x14ac:dyDescent="0.25">
      <c r="B44" t="s">
        <v>137</v>
      </c>
      <c r="C44">
        <v>131427</v>
      </c>
      <c r="D44">
        <v>54</v>
      </c>
      <c r="E44">
        <v>31</v>
      </c>
      <c r="F44">
        <v>85</v>
      </c>
      <c r="G44">
        <v>0.63529411764705879</v>
      </c>
      <c r="H44">
        <v>2433.8333333333335</v>
      </c>
    </row>
    <row r="45" spans="2:8" hidden="1" x14ac:dyDescent="0.25">
      <c r="B45" t="s">
        <v>77</v>
      </c>
      <c r="C45">
        <v>128048</v>
      </c>
      <c r="D45">
        <v>70</v>
      </c>
      <c r="E45">
        <v>47</v>
      </c>
      <c r="F45">
        <v>117</v>
      </c>
      <c r="G45">
        <v>0.59829059829059827</v>
      </c>
      <c r="H45">
        <v>1829.2571428571428</v>
      </c>
    </row>
    <row r="46" spans="2:8" hidden="1" x14ac:dyDescent="0.25">
      <c r="B46" t="s">
        <v>82</v>
      </c>
      <c r="C46">
        <v>127569</v>
      </c>
      <c r="D46">
        <v>57</v>
      </c>
      <c r="E46">
        <v>24</v>
      </c>
      <c r="F46">
        <v>81</v>
      </c>
      <c r="G46">
        <v>0.70370370370370372</v>
      </c>
      <c r="H46">
        <v>2238.0526315789475</v>
      </c>
    </row>
    <row r="47" spans="2:8" hidden="1" x14ac:dyDescent="0.25">
      <c r="B47" t="s">
        <v>83</v>
      </c>
      <c r="C47">
        <v>127050</v>
      </c>
      <c r="D47">
        <v>59</v>
      </c>
      <c r="E47">
        <v>40</v>
      </c>
      <c r="F47">
        <v>99</v>
      </c>
      <c r="G47">
        <v>0.59595959595959591</v>
      </c>
      <c r="H47">
        <v>2153.3898305084745</v>
      </c>
    </row>
    <row r="48" spans="2:8" hidden="1" x14ac:dyDescent="0.25">
      <c r="B48" t="s">
        <v>79</v>
      </c>
      <c r="C48">
        <v>127009</v>
      </c>
      <c r="D48">
        <v>49</v>
      </c>
      <c r="E48">
        <v>32</v>
      </c>
      <c r="F48">
        <v>81</v>
      </c>
      <c r="G48">
        <v>0.60493827160493829</v>
      </c>
      <c r="H48">
        <v>2592.0204081632655</v>
      </c>
    </row>
    <row r="49" spans="2:8" hidden="1" x14ac:dyDescent="0.25">
      <c r="B49" t="s">
        <v>117</v>
      </c>
      <c r="C49">
        <v>125481</v>
      </c>
      <c r="D49">
        <v>70</v>
      </c>
      <c r="E49">
        <v>37</v>
      </c>
      <c r="F49">
        <v>107</v>
      </c>
      <c r="G49">
        <v>0.65420560747663548</v>
      </c>
      <c r="H49">
        <v>1792.5857142857142</v>
      </c>
    </row>
    <row r="50" spans="2:8" hidden="1" x14ac:dyDescent="0.25">
      <c r="B50" t="s">
        <v>71</v>
      </c>
      <c r="C50">
        <v>125310</v>
      </c>
      <c r="D50">
        <v>54</v>
      </c>
      <c r="E50">
        <v>34</v>
      </c>
      <c r="F50">
        <v>88</v>
      </c>
      <c r="G50">
        <v>0.61363636363636365</v>
      </c>
      <c r="H50">
        <v>2320.5555555555557</v>
      </c>
    </row>
    <row r="51" spans="2:8" hidden="1" x14ac:dyDescent="0.25">
      <c r="B51" t="s">
        <v>84</v>
      </c>
      <c r="C51">
        <v>123506</v>
      </c>
      <c r="D51">
        <v>46</v>
      </c>
      <c r="E51">
        <v>29</v>
      </c>
      <c r="F51">
        <v>75</v>
      </c>
      <c r="G51">
        <v>0.61333333333333329</v>
      </c>
      <c r="H51">
        <v>2684.913043478261</v>
      </c>
    </row>
    <row r="52" spans="2:8" hidden="1" x14ac:dyDescent="0.25">
      <c r="B52" t="s">
        <v>105</v>
      </c>
      <c r="C52">
        <v>121418</v>
      </c>
      <c r="D52">
        <v>39</v>
      </c>
      <c r="E52">
        <v>27</v>
      </c>
      <c r="F52">
        <v>66</v>
      </c>
      <c r="G52">
        <v>0.59090909090909094</v>
      </c>
      <c r="H52">
        <v>3113.2820512820513</v>
      </c>
    </row>
    <row r="53" spans="2:8" hidden="1" x14ac:dyDescent="0.25">
      <c r="B53" t="s">
        <v>67</v>
      </c>
      <c r="C53">
        <v>118627</v>
      </c>
      <c r="D53">
        <v>55</v>
      </c>
      <c r="E53">
        <v>38</v>
      </c>
      <c r="F53">
        <v>93</v>
      </c>
      <c r="G53">
        <v>0.59139784946236562</v>
      </c>
      <c r="H53">
        <v>2156.8545454545456</v>
      </c>
    </row>
    <row r="54" spans="2:8" hidden="1" x14ac:dyDescent="0.25">
      <c r="B54" t="s">
        <v>93</v>
      </c>
      <c r="C54">
        <v>117942</v>
      </c>
      <c r="D54">
        <v>43</v>
      </c>
      <c r="E54">
        <v>33</v>
      </c>
      <c r="F54">
        <v>76</v>
      </c>
      <c r="G54">
        <v>0.56578947368421051</v>
      </c>
      <c r="H54">
        <v>2742.8372093023254</v>
      </c>
    </row>
    <row r="55" spans="2:8" hidden="1" x14ac:dyDescent="0.25">
      <c r="B55" t="s">
        <v>126</v>
      </c>
      <c r="C55">
        <v>117463</v>
      </c>
      <c r="D55">
        <v>63</v>
      </c>
      <c r="E55">
        <v>41</v>
      </c>
      <c r="F55">
        <v>104</v>
      </c>
      <c r="G55">
        <v>0.60576923076923073</v>
      </c>
      <c r="H55">
        <v>1864.4920634920634</v>
      </c>
    </row>
    <row r="56" spans="2:8" hidden="1" x14ac:dyDescent="0.25">
      <c r="B56" t="s">
        <v>81</v>
      </c>
      <c r="C56">
        <v>117255</v>
      </c>
      <c r="D56">
        <v>54</v>
      </c>
      <c r="E56">
        <v>39</v>
      </c>
      <c r="F56">
        <v>93</v>
      </c>
      <c r="G56">
        <v>0.58064516129032262</v>
      </c>
      <c r="H56">
        <v>2171.3888888888887</v>
      </c>
    </row>
    <row r="57" spans="2:8" hidden="1" x14ac:dyDescent="0.25">
      <c r="B57" t="s">
        <v>73</v>
      </c>
      <c r="C57">
        <v>116394</v>
      </c>
      <c r="D57">
        <v>54</v>
      </c>
      <c r="E57">
        <v>37</v>
      </c>
      <c r="F57">
        <v>91</v>
      </c>
      <c r="G57">
        <v>0.59340659340659341</v>
      </c>
      <c r="H57">
        <v>2155.4444444444443</v>
      </c>
    </row>
    <row r="58" spans="2:8" hidden="1" x14ac:dyDescent="0.25">
      <c r="B58" t="s">
        <v>87</v>
      </c>
      <c r="C58">
        <v>115712</v>
      </c>
      <c r="D58">
        <v>50</v>
      </c>
      <c r="E58">
        <v>35</v>
      </c>
      <c r="F58">
        <v>85</v>
      </c>
      <c r="G58">
        <v>0.58823529411764708</v>
      </c>
      <c r="H58">
        <v>2314.2399999999998</v>
      </c>
    </row>
    <row r="59" spans="2:8" hidden="1" x14ac:dyDescent="0.25">
      <c r="B59" t="s">
        <v>86</v>
      </c>
      <c r="C59">
        <v>114352</v>
      </c>
      <c r="D59">
        <v>54</v>
      </c>
      <c r="E59">
        <v>33</v>
      </c>
      <c r="F59">
        <v>87</v>
      </c>
      <c r="G59">
        <v>0.62068965517241381</v>
      </c>
      <c r="H59">
        <v>2117.6296296296296</v>
      </c>
    </row>
    <row r="60" spans="2:8" hidden="1" x14ac:dyDescent="0.25">
      <c r="B60" t="s">
        <v>80</v>
      </c>
      <c r="C60">
        <v>113557</v>
      </c>
      <c r="D60">
        <v>48</v>
      </c>
      <c r="E60">
        <v>28</v>
      </c>
      <c r="F60">
        <v>76</v>
      </c>
      <c r="G60">
        <v>0.63157894736842102</v>
      </c>
      <c r="H60">
        <v>2365.7708333333335</v>
      </c>
    </row>
    <row r="61" spans="2:8" hidden="1" x14ac:dyDescent="0.25">
      <c r="B61" t="s">
        <v>133</v>
      </c>
      <c r="C61">
        <v>111533</v>
      </c>
      <c r="D61">
        <v>34</v>
      </c>
      <c r="E61">
        <v>23</v>
      </c>
      <c r="F61">
        <v>57</v>
      </c>
      <c r="G61">
        <v>0.59649122807017541</v>
      </c>
      <c r="H61">
        <v>3280.3823529411766</v>
      </c>
    </row>
    <row r="62" spans="2:8" hidden="1" x14ac:dyDescent="0.25">
      <c r="B62" t="s">
        <v>118</v>
      </c>
      <c r="C62">
        <v>110512</v>
      </c>
      <c r="D62">
        <v>65</v>
      </c>
      <c r="E62">
        <v>31</v>
      </c>
      <c r="F62">
        <v>96</v>
      </c>
      <c r="G62">
        <v>0.67708333333333337</v>
      </c>
      <c r="H62">
        <v>1700.1846153846154</v>
      </c>
    </row>
    <row r="63" spans="2:8" hidden="1" x14ac:dyDescent="0.25">
      <c r="B63" t="s">
        <v>110</v>
      </c>
      <c r="C63">
        <v>110098</v>
      </c>
      <c r="D63">
        <v>34</v>
      </c>
      <c r="E63">
        <v>22</v>
      </c>
      <c r="F63">
        <v>56</v>
      </c>
      <c r="G63">
        <v>0.6071428571428571</v>
      </c>
      <c r="H63">
        <v>3238.1764705882351</v>
      </c>
    </row>
    <row r="64" spans="2:8" hidden="1" x14ac:dyDescent="0.25">
      <c r="B64" t="s">
        <v>61</v>
      </c>
      <c r="C64">
        <v>107408</v>
      </c>
      <c r="D64">
        <v>53</v>
      </c>
      <c r="E64">
        <v>33</v>
      </c>
      <c r="F64">
        <v>86</v>
      </c>
      <c r="G64">
        <v>0.61627906976744184</v>
      </c>
      <c r="H64">
        <v>2026.566037735849</v>
      </c>
    </row>
    <row r="65" spans="2:8" hidden="1" x14ac:dyDescent="0.25">
      <c r="B65" t="s">
        <v>128</v>
      </c>
      <c r="C65">
        <v>106754</v>
      </c>
      <c r="D65">
        <v>45</v>
      </c>
      <c r="E65">
        <v>23</v>
      </c>
      <c r="F65">
        <v>68</v>
      </c>
      <c r="G65">
        <v>0.66176470588235292</v>
      </c>
      <c r="H65">
        <v>2372.3111111111111</v>
      </c>
    </row>
    <row r="66" spans="2:8" hidden="1" x14ac:dyDescent="0.25">
      <c r="B66" t="s">
        <v>92</v>
      </c>
      <c r="C66">
        <v>106098</v>
      </c>
      <c r="D66">
        <v>35</v>
      </c>
      <c r="E66">
        <v>20</v>
      </c>
      <c r="F66">
        <v>55</v>
      </c>
      <c r="G66">
        <v>0.63636363636363635</v>
      </c>
      <c r="H66">
        <v>3031.3714285714286</v>
      </c>
    </row>
    <row r="67" spans="2:8" hidden="1" x14ac:dyDescent="0.25">
      <c r="B67" t="s">
        <v>123</v>
      </c>
      <c r="C67">
        <v>103673</v>
      </c>
      <c r="D67">
        <v>46</v>
      </c>
      <c r="E67">
        <v>27</v>
      </c>
      <c r="F67">
        <v>73</v>
      </c>
      <c r="G67">
        <v>0.63013698630136983</v>
      </c>
      <c r="H67">
        <v>2253.7608695652175</v>
      </c>
    </row>
    <row r="68" spans="2:8" hidden="1" x14ac:dyDescent="0.25">
      <c r="B68" t="s">
        <v>99</v>
      </c>
      <c r="C68">
        <v>102610</v>
      </c>
      <c r="D68">
        <v>50</v>
      </c>
      <c r="E68">
        <v>23</v>
      </c>
      <c r="F68">
        <v>73</v>
      </c>
      <c r="G68">
        <v>0.68493150684931503</v>
      </c>
      <c r="H68">
        <v>2052.1999999999998</v>
      </c>
    </row>
    <row r="69" spans="2:8" hidden="1" x14ac:dyDescent="0.25">
      <c r="B69" t="s">
        <v>59</v>
      </c>
      <c r="C69">
        <v>101744</v>
      </c>
      <c r="D69">
        <v>34</v>
      </c>
      <c r="E69">
        <v>24</v>
      </c>
      <c r="F69">
        <v>58</v>
      </c>
      <c r="G69">
        <v>0.58620689655172409</v>
      </c>
      <c r="H69">
        <v>2992.4705882352941</v>
      </c>
    </row>
    <row r="70" spans="2:8" hidden="1" x14ac:dyDescent="0.25">
      <c r="B70" t="s">
        <v>74</v>
      </c>
      <c r="C70">
        <v>99639</v>
      </c>
      <c r="D70">
        <v>53</v>
      </c>
      <c r="E70">
        <v>25</v>
      </c>
      <c r="F70">
        <v>78</v>
      </c>
      <c r="G70">
        <v>0.67948717948717952</v>
      </c>
      <c r="H70">
        <v>1879.9811320754718</v>
      </c>
    </row>
    <row r="71" spans="2:8" hidden="1" x14ac:dyDescent="0.25">
      <c r="B71" t="s">
        <v>91</v>
      </c>
      <c r="C71">
        <v>99293</v>
      </c>
      <c r="D71">
        <v>41</v>
      </c>
      <c r="E71">
        <v>31</v>
      </c>
      <c r="F71">
        <v>72</v>
      </c>
      <c r="G71">
        <v>0.56944444444444442</v>
      </c>
      <c r="H71">
        <v>2421.7804878048782</v>
      </c>
    </row>
    <row r="72" spans="2:8" hidden="1" x14ac:dyDescent="0.25">
      <c r="B72" t="s">
        <v>60</v>
      </c>
      <c r="C72">
        <v>97036</v>
      </c>
      <c r="D72">
        <v>34</v>
      </c>
      <c r="E72">
        <v>20</v>
      </c>
      <c r="F72">
        <v>54</v>
      </c>
      <c r="G72">
        <v>0.62962962962962965</v>
      </c>
      <c r="H72">
        <v>2854</v>
      </c>
    </row>
    <row r="73" spans="2:8" hidden="1" x14ac:dyDescent="0.25">
      <c r="B73" t="s">
        <v>101</v>
      </c>
      <c r="C73">
        <v>95060</v>
      </c>
      <c r="D73">
        <v>40</v>
      </c>
      <c r="E73">
        <v>22</v>
      </c>
      <c r="F73">
        <v>62</v>
      </c>
      <c r="G73">
        <v>0.64516129032258063</v>
      </c>
      <c r="H73">
        <v>2376.5</v>
      </c>
    </row>
    <row r="74" spans="2:8" hidden="1" x14ac:dyDescent="0.25">
      <c r="B74" t="s">
        <v>62</v>
      </c>
      <c r="C74">
        <v>90991</v>
      </c>
      <c r="D74">
        <v>50</v>
      </c>
      <c r="E74">
        <v>35</v>
      </c>
      <c r="F74">
        <v>85</v>
      </c>
      <c r="G74">
        <v>0.58823529411764708</v>
      </c>
      <c r="H74">
        <v>1819.82</v>
      </c>
    </row>
    <row r="75" spans="2:8" hidden="1" x14ac:dyDescent="0.25">
      <c r="B75" t="s">
        <v>106</v>
      </c>
      <c r="C75">
        <v>90110</v>
      </c>
      <c r="D75">
        <v>38</v>
      </c>
      <c r="E75">
        <v>21</v>
      </c>
      <c r="F75">
        <v>59</v>
      </c>
      <c r="G75">
        <v>0.64406779661016944</v>
      </c>
      <c r="H75">
        <v>2371.3157894736842</v>
      </c>
    </row>
    <row r="76" spans="2:8" hidden="1" x14ac:dyDescent="0.25">
      <c r="B76" t="s">
        <v>95</v>
      </c>
      <c r="C76">
        <v>89792</v>
      </c>
      <c r="D76">
        <v>37</v>
      </c>
      <c r="E76">
        <v>26</v>
      </c>
      <c r="F76">
        <v>63</v>
      </c>
      <c r="G76">
        <v>0.58730158730158732</v>
      </c>
      <c r="H76">
        <v>2426.8108108108108</v>
      </c>
    </row>
    <row r="77" spans="2:8" hidden="1" x14ac:dyDescent="0.25">
      <c r="B77" t="s">
        <v>66</v>
      </c>
      <c r="C77">
        <v>89248</v>
      </c>
      <c r="D77">
        <v>36</v>
      </c>
      <c r="E77">
        <v>18</v>
      </c>
      <c r="F77">
        <v>54</v>
      </c>
      <c r="G77">
        <v>0.66666666666666663</v>
      </c>
      <c r="H77">
        <v>2479.1111111111113</v>
      </c>
    </row>
    <row r="78" spans="2:8" hidden="1" x14ac:dyDescent="0.25">
      <c r="B78" t="s">
        <v>113</v>
      </c>
      <c r="C78">
        <v>89208</v>
      </c>
      <c r="D78">
        <v>33</v>
      </c>
      <c r="E78">
        <v>13</v>
      </c>
      <c r="F78">
        <v>46</v>
      </c>
      <c r="G78">
        <v>0.71739130434782605</v>
      </c>
      <c r="H78">
        <v>2703.2727272727275</v>
      </c>
    </row>
    <row r="79" spans="2:8" hidden="1" x14ac:dyDescent="0.25">
      <c r="B79" t="s">
        <v>64</v>
      </c>
      <c r="C79">
        <v>87715</v>
      </c>
      <c r="D79">
        <v>41</v>
      </c>
      <c r="E79">
        <v>30</v>
      </c>
      <c r="F79">
        <v>71</v>
      </c>
      <c r="G79">
        <v>0.57746478873239437</v>
      </c>
      <c r="H79">
        <v>2139.3902439024391</v>
      </c>
    </row>
    <row r="80" spans="2:8" hidden="1" x14ac:dyDescent="0.25">
      <c r="B80" t="s">
        <v>140</v>
      </c>
      <c r="C80">
        <v>86690</v>
      </c>
      <c r="D80">
        <v>33</v>
      </c>
      <c r="E80">
        <v>15</v>
      </c>
      <c r="F80">
        <v>48</v>
      </c>
      <c r="G80">
        <v>0.6875</v>
      </c>
      <c r="H80">
        <v>2626.969696969697</v>
      </c>
    </row>
    <row r="81" spans="2:8" hidden="1" x14ac:dyDescent="0.25">
      <c r="B81" t="s">
        <v>130</v>
      </c>
      <c r="C81">
        <v>85902</v>
      </c>
      <c r="D81">
        <v>39</v>
      </c>
      <c r="E81">
        <v>24</v>
      </c>
      <c r="F81">
        <v>63</v>
      </c>
      <c r="G81">
        <v>0.61904761904761907</v>
      </c>
      <c r="H81">
        <v>2202.6153846153848</v>
      </c>
    </row>
    <row r="82" spans="2:8" hidden="1" x14ac:dyDescent="0.25">
      <c r="B82" t="s">
        <v>88</v>
      </c>
      <c r="C82">
        <v>85047</v>
      </c>
      <c r="D82">
        <v>51</v>
      </c>
      <c r="E82">
        <v>22</v>
      </c>
      <c r="F82">
        <v>73</v>
      </c>
      <c r="G82">
        <v>0.69863013698630139</v>
      </c>
      <c r="H82">
        <v>1667.5882352941176</v>
      </c>
    </row>
    <row r="83" spans="2:8" hidden="1" x14ac:dyDescent="0.25">
      <c r="B83" t="s">
        <v>116</v>
      </c>
      <c r="C83">
        <v>84754</v>
      </c>
      <c r="D83">
        <v>38</v>
      </c>
      <c r="E83">
        <v>27</v>
      </c>
      <c r="F83">
        <v>65</v>
      </c>
      <c r="G83">
        <v>0.58461538461538465</v>
      </c>
      <c r="H83">
        <v>2230.3684210526317</v>
      </c>
    </row>
    <row r="84" spans="2:8" hidden="1" x14ac:dyDescent="0.25">
      <c r="B84" t="s">
        <v>121</v>
      </c>
      <c r="C84">
        <v>83816</v>
      </c>
      <c r="D84">
        <v>35</v>
      </c>
      <c r="E84">
        <v>28</v>
      </c>
      <c r="F84">
        <v>63</v>
      </c>
      <c r="G84">
        <v>0.55555555555555558</v>
      </c>
      <c r="H84">
        <v>2394.7428571428572</v>
      </c>
    </row>
    <row r="85" spans="2:8" hidden="1" x14ac:dyDescent="0.25">
      <c r="B85" t="s">
        <v>109</v>
      </c>
      <c r="C85">
        <v>82622</v>
      </c>
      <c r="D85">
        <v>37</v>
      </c>
      <c r="E85">
        <v>14</v>
      </c>
      <c r="F85">
        <v>51</v>
      </c>
      <c r="G85">
        <v>0.72549019607843135</v>
      </c>
      <c r="H85">
        <v>2233.0270270270271</v>
      </c>
    </row>
    <row r="86" spans="2:8" hidden="1" x14ac:dyDescent="0.25">
      <c r="B86" t="s">
        <v>120</v>
      </c>
      <c r="C86">
        <v>82360</v>
      </c>
      <c r="D86">
        <v>48</v>
      </c>
      <c r="E86">
        <v>29</v>
      </c>
      <c r="F86">
        <v>77</v>
      </c>
      <c r="G86">
        <v>0.62337662337662336</v>
      </c>
      <c r="H86">
        <v>1715.8333333333333</v>
      </c>
    </row>
    <row r="87" spans="2:8" hidden="1" x14ac:dyDescent="0.25">
      <c r="B87" t="s">
        <v>75</v>
      </c>
      <c r="C87">
        <v>82118</v>
      </c>
      <c r="D87">
        <v>33</v>
      </c>
      <c r="E87">
        <v>23</v>
      </c>
      <c r="F87">
        <v>56</v>
      </c>
      <c r="G87">
        <v>0.5892857142857143</v>
      </c>
      <c r="H87">
        <v>2488.4242424242425</v>
      </c>
    </row>
    <row r="88" spans="2:8" hidden="1" x14ac:dyDescent="0.25">
      <c r="B88" t="s">
        <v>111</v>
      </c>
      <c r="C88">
        <v>78669</v>
      </c>
      <c r="D88">
        <v>30</v>
      </c>
      <c r="E88">
        <v>20</v>
      </c>
      <c r="F88">
        <v>50</v>
      </c>
      <c r="G88">
        <v>0.6</v>
      </c>
      <c r="H88">
        <v>2622.3</v>
      </c>
    </row>
    <row r="89" spans="2:8" hidden="1" x14ac:dyDescent="0.25">
      <c r="B89" t="s">
        <v>143</v>
      </c>
      <c r="C89">
        <v>78237</v>
      </c>
      <c r="D89">
        <v>36</v>
      </c>
      <c r="E89">
        <v>21</v>
      </c>
      <c r="F89">
        <v>57</v>
      </c>
      <c r="G89">
        <v>0.63157894736842102</v>
      </c>
      <c r="H89">
        <v>2173.25</v>
      </c>
    </row>
    <row r="90" spans="2:8" hidden="1" x14ac:dyDescent="0.25">
      <c r="B90" t="s">
        <v>72</v>
      </c>
      <c r="C90">
        <v>77936</v>
      </c>
      <c r="D90">
        <v>43</v>
      </c>
      <c r="E90">
        <v>18</v>
      </c>
      <c r="F90">
        <v>61</v>
      </c>
      <c r="G90">
        <v>0.70491803278688525</v>
      </c>
      <c r="H90">
        <v>1812.4651162790697</v>
      </c>
    </row>
    <row r="91" spans="2:8" hidden="1" x14ac:dyDescent="0.25">
      <c r="B91" t="s">
        <v>141</v>
      </c>
      <c r="C91">
        <v>76684</v>
      </c>
      <c r="D91">
        <v>33</v>
      </c>
      <c r="E91">
        <v>13</v>
      </c>
      <c r="F91">
        <v>46</v>
      </c>
      <c r="G91">
        <v>0.71739130434782605</v>
      </c>
      <c r="H91">
        <v>2323.757575757576</v>
      </c>
    </row>
    <row r="92" spans="2:8" hidden="1" x14ac:dyDescent="0.25">
      <c r="B92" t="s">
        <v>129</v>
      </c>
      <c r="C92">
        <v>76636</v>
      </c>
      <c r="D92">
        <v>28</v>
      </c>
      <c r="E92">
        <v>16</v>
      </c>
      <c r="F92">
        <v>44</v>
      </c>
      <c r="G92">
        <v>0.63636363636363635</v>
      </c>
      <c r="H92">
        <v>2737</v>
      </c>
    </row>
    <row r="93" spans="2:8" hidden="1" x14ac:dyDescent="0.25">
      <c r="B93" t="s">
        <v>138</v>
      </c>
      <c r="C93">
        <v>75424</v>
      </c>
      <c r="D93">
        <v>36</v>
      </c>
      <c r="E93">
        <v>20</v>
      </c>
      <c r="F93">
        <v>56</v>
      </c>
      <c r="G93">
        <v>0.6428571428571429</v>
      </c>
      <c r="H93">
        <v>2095.1111111111113</v>
      </c>
    </row>
    <row r="94" spans="2:8" hidden="1" x14ac:dyDescent="0.25">
      <c r="B94" t="s">
        <v>98</v>
      </c>
      <c r="C94">
        <v>72543</v>
      </c>
      <c r="D94">
        <v>25</v>
      </c>
      <c r="E94">
        <v>13</v>
      </c>
      <c r="F94">
        <v>38</v>
      </c>
      <c r="G94">
        <v>0.65789473684210531</v>
      </c>
      <c r="H94">
        <v>2901.72</v>
      </c>
    </row>
    <row r="95" spans="2:8" hidden="1" x14ac:dyDescent="0.25">
      <c r="B95" t="s">
        <v>103</v>
      </c>
      <c r="C95">
        <v>72457</v>
      </c>
      <c r="D95">
        <v>42</v>
      </c>
      <c r="E95">
        <v>22</v>
      </c>
      <c r="F95">
        <v>64</v>
      </c>
      <c r="G95">
        <v>0.65625</v>
      </c>
      <c r="H95">
        <v>1725.1666666666667</v>
      </c>
    </row>
    <row r="96" spans="2:8" hidden="1" x14ac:dyDescent="0.25">
      <c r="B96" t="s">
        <v>63</v>
      </c>
      <c r="C96">
        <v>67393</v>
      </c>
      <c r="D96">
        <v>31</v>
      </c>
      <c r="E96">
        <v>15</v>
      </c>
      <c r="F96">
        <v>46</v>
      </c>
      <c r="G96">
        <v>0.67391304347826086</v>
      </c>
      <c r="H96">
        <v>2173.9677419354839</v>
      </c>
    </row>
    <row r="97" spans="2:8" hidden="1" x14ac:dyDescent="0.25">
      <c r="B97" t="s">
        <v>125</v>
      </c>
      <c r="C97">
        <v>67080</v>
      </c>
      <c r="D97">
        <v>34</v>
      </c>
      <c r="E97">
        <v>30</v>
      </c>
      <c r="F97">
        <v>64</v>
      </c>
      <c r="G97">
        <v>0.53125</v>
      </c>
      <c r="H97">
        <v>1972.9411764705883</v>
      </c>
    </row>
    <row r="98" spans="2:8" hidden="1" x14ac:dyDescent="0.25">
      <c r="B98" t="s">
        <v>108</v>
      </c>
      <c r="C98">
        <v>63103</v>
      </c>
      <c r="D98">
        <v>32</v>
      </c>
      <c r="E98">
        <v>20</v>
      </c>
      <c r="F98">
        <v>52</v>
      </c>
      <c r="G98">
        <v>0.61538461538461542</v>
      </c>
      <c r="H98">
        <v>1971.96875</v>
      </c>
    </row>
    <row r="99" spans="2:8" hidden="1" x14ac:dyDescent="0.25">
      <c r="B99" t="s">
        <v>127</v>
      </c>
      <c r="C99">
        <v>59905</v>
      </c>
      <c r="D99">
        <v>23</v>
      </c>
      <c r="E99">
        <v>18</v>
      </c>
      <c r="F99">
        <v>41</v>
      </c>
      <c r="G99">
        <v>0.56097560975609762</v>
      </c>
      <c r="H99">
        <v>2604.5652173913045</v>
      </c>
    </row>
    <row r="100" spans="2:8" hidden="1" x14ac:dyDescent="0.25">
      <c r="B100" t="s">
        <v>65</v>
      </c>
      <c r="C100">
        <v>56903</v>
      </c>
      <c r="D100">
        <v>28</v>
      </c>
      <c r="E100">
        <v>20</v>
      </c>
      <c r="F100">
        <v>48</v>
      </c>
      <c r="G100">
        <v>0.58333333333333337</v>
      </c>
      <c r="H100">
        <v>2032.25</v>
      </c>
    </row>
    <row r="101" spans="2:8" hidden="1" x14ac:dyDescent="0.25">
      <c r="B101" t="s">
        <v>78</v>
      </c>
      <c r="C101">
        <v>56637</v>
      </c>
      <c r="D101">
        <v>30</v>
      </c>
      <c r="E101">
        <v>24</v>
      </c>
      <c r="F101">
        <v>54</v>
      </c>
      <c r="G101">
        <v>0.55555555555555558</v>
      </c>
      <c r="H101">
        <v>1887.9</v>
      </c>
    </row>
    <row r="102" spans="2:8" hidden="1" x14ac:dyDescent="0.25">
      <c r="B102" t="s">
        <v>139</v>
      </c>
      <c r="C102">
        <v>55616</v>
      </c>
      <c r="D102">
        <v>34</v>
      </c>
      <c r="E102">
        <v>18</v>
      </c>
      <c r="F102">
        <v>52</v>
      </c>
      <c r="G102">
        <v>0.65384615384615385</v>
      </c>
      <c r="H102">
        <v>1635.7647058823529</v>
      </c>
    </row>
    <row r="103" spans="2:8" hidden="1" x14ac:dyDescent="0.25">
      <c r="B103" t="s">
        <v>89</v>
      </c>
      <c r="C103">
        <v>51632</v>
      </c>
      <c r="D103">
        <v>33</v>
      </c>
      <c r="E103">
        <v>25</v>
      </c>
      <c r="F103">
        <v>58</v>
      </c>
      <c r="G103">
        <v>0.56896551724137934</v>
      </c>
      <c r="H103">
        <v>1564.6060606060605</v>
      </c>
    </row>
    <row r="104" spans="2:8" hidden="1" x14ac:dyDescent="0.25"/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BD86-56A7-47F3-B84C-D666E4E9D812}">
  <dimension ref="B3:M40"/>
  <sheetViews>
    <sheetView showGridLines="0" showRowColHeaders="0" tabSelected="1" zoomScale="50" zoomScaleNormal="91" workbookViewId="0">
      <selection activeCell="D16" sqref="D16"/>
    </sheetView>
  </sheetViews>
  <sheetFormatPr defaultRowHeight="15" x14ac:dyDescent="0.25"/>
  <cols>
    <col min="2" max="2" width="24.140625" bestFit="1" customWidth="1"/>
    <col min="3" max="3" width="22.7109375" bestFit="1" customWidth="1"/>
    <col min="4" max="4" width="12.42578125" customWidth="1"/>
    <col min="5" max="5" width="4.140625" customWidth="1"/>
    <col min="15" max="15" width="12.85546875" bestFit="1" customWidth="1"/>
    <col min="16" max="16" width="23.7109375" bestFit="1" customWidth="1"/>
  </cols>
  <sheetData>
    <row r="3" spans="2:2" ht="23.25" x14ac:dyDescent="0.25">
      <c r="B3" s="3"/>
    </row>
    <row r="9" spans="2:2" ht="23.25" x14ac:dyDescent="0.25">
      <c r="B9" s="3"/>
    </row>
    <row r="20" spans="2:13" ht="26.25" customHeight="1" x14ac:dyDescent="0.25">
      <c r="B20" s="39" t="s">
        <v>150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2" spans="2:13" x14ac:dyDescent="0.25">
      <c r="B22" s="1" t="s">
        <v>0</v>
      </c>
      <c r="C22" t="s">
        <v>6</v>
      </c>
      <c r="D22" t="s">
        <v>148</v>
      </c>
    </row>
    <row r="23" spans="2:13" x14ac:dyDescent="0.25">
      <c r="B23" t="s">
        <v>4</v>
      </c>
      <c r="C23">
        <v>4238</v>
      </c>
      <c r="D23" s="28">
        <v>0.48159090909090907</v>
      </c>
    </row>
    <row r="24" spans="2:13" x14ac:dyDescent="0.25">
      <c r="B24" t="s">
        <v>2</v>
      </c>
      <c r="C24">
        <v>2473</v>
      </c>
      <c r="D24" s="28">
        <v>0.28102272727272726</v>
      </c>
    </row>
    <row r="25" spans="2:13" x14ac:dyDescent="0.25">
      <c r="B25" t="s">
        <v>1</v>
      </c>
      <c r="C25">
        <v>1589</v>
      </c>
      <c r="D25" s="28">
        <v>0.18056818181818182</v>
      </c>
    </row>
    <row r="26" spans="2:13" x14ac:dyDescent="0.25">
      <c r="B26" t="s">
        <v>3</v>
      </c>
      <c r="C26">
        <v>500</v>
      </c>
      <c r="D26" s="28">
        <v>5.6818181818181816E-2</v>
      </c>
    </row>
    <row r="27" spans="2:13" x14ac:dyDescent="0.25">
      <c r="B27" t="s">
        <v>5</v>
      </c>
      <c r="C27">
        <v>8800</v>
      </c>
      <c r="D27" s="28">
        <v>1</v>
      </c>
    </row>
    <row r="29" spans="2:13" x14ac:dyDescent="0.25">
      <c r="B29" s="33"/>
      <c r="C29" s="35" t="s">
        <v>147</v>
      </c>
      <c r="D29" s="35" t="s">
        <v>148</v>
      </c>
    </row>
    <row r="30" spans="2:13" x14ac:dyDescent="0.25">
      <c r="B30" s="33" t="s">
        <v>146</v>
      </c>
      <c r="C30" s="33">
        <f>SUMIF(B23:B26,"Engaging",C23:C26)+SUMIF(B23:B26,"Prospecting",C23:C26)</f>
        <v>2089</v>
      </c>
      <c r="D30" s="34">
        <f>C30/$C$32</f>
        <v>0.23738636363636365</v>
      </c>
    </row>
    <row r="31" spans="2:13" x14ac:dyDescent="0.25">
      <c r="B31" s="33" t="s">
        <v>17</v>
      </c>
      <c r="C31" s="33">
        <f>SUMIF(B23:B26,"Won",C23:C26)+SUMIF(B23:B26,"Lost",C23:C26)</f>
        <v>6711</v>
      </c>
      <c r="D31" s="34">
        <f>C31/$C$32</f>
        <v>0.76261363636363633</v>
      </c>
    </row>
    <row r="32" spans="2:13" x14ac:dyDescent="0.25">
      <c r="B32" s="35" t="s">
        <v>5</v>
      </c>
      <c r="C32" s="35">
        <f>SUM(C30:C31)</f>
        <v>8800</v>
      </c>
      <c r="D32" s="36">
        <f>C32/$C$32</f>
        <v>1</v>
      </c>
    </row>
    <row r="34" spans="2:3" x14ac:dyDescent="0.25">
      <c r="B34" s="37" t="s">
        <v>149</v>
      </c>
    </row>
    <row r="35" spans="2:3" x14ac:dyDescent="0.25">
      <c r="B35" s="19" t="s">
        <v>0</v>
      </c>
      <c r="C35" s="31" t="s">
        <v>145</v>
      </c>
    </row>
    <row r="36" spans="2:3" x14ac:dyDescent="0.25">
      <c r="B36" s="12" t="s">
        <v>4</v>
      </c>
      <c r="C36" s="29">
        <v>0.48159090909090907</v>
      </c>
    </row>
    <row r="37" spans="2:3" x14ac:dyDescent="0.25">
      <c r="B37" s="16" t="s">
        <v>2</v>
      </c>
      <c r="C37" s="30">
        <v>0.28102272727272726</v>
      </c>
    </row>
    <row r="38" spans="2:3" x14ac:dyDescent="0.25">
      <c r="B38" s="16" t="s">
        <v>1</v>
      </c>
      <c r="C38" s="30">
        <v>0.18056818181818182</v>
      </c>
    </row>
    <row r="39" spans="2:3" x14ac:dyDescent="0.25">
      <c r="B39" s="16" t="s">
        <v>3</v>
      </c>
      <c r="C39" s="30">
        <v>5.6818181818181816E-2</v>
      </c>
    </row>
    <row r="40" spans="2:3" x14ac:dyDescent="0.25">
      <c r="B40" s="22" t="s">
        <v>5</v>
      </c>
      <c r="C40" s="32">
        <v>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E70D1DC0-813C-4414-8E07-831FDE747424}">
  <ds:schemaRefs/>
</ds:datastoreItem>
</file>

<file path=customXml/itemProps2.xml><?xml version="1.0" encoding="utf-8"?>
<ds:datastoreItem xmlns:ds="http://schemas.openxmlformats.org/officeDocument/2006/customXml" ds:itemID="{F2C464D0-6E1A-44F0-8A4D-47731F73CA5C}">
  <ds:schemaRefs/>
</ds:datastoreItem>
</file>

<file path=customXml/itemProps3.xml><?xml version="1.0" encoding="utf-8"?>
<ds:datastoreItem xmlns:ds="http://schemas.openxmlformats.org/officeDocument/2006/customXml" ds:itemID="{3C6D1088-8D39-4A72-900F-1ACA243C6191}">
  <ds:schemaRefs/>
</ds:datastoreItem>
</file>

<file path=customXml/itemProps4.xml><?xml version="1.0" encoding="utf-8"?>
<ds:datastoreItem xmlns:ds="http://schemas.openxmlformats.org/officeDocument/2006/customXml" ds:itemID="{E7695EA1-F9EE-41C1-BF21-32275CE8FB59}">
  <ds:schemaRefs/>
</ds:datastoreItem>
</file>

<file path=customXml/itemProps5.xml><?xml version="1.0" encoding="utf-8"?>
<ds:datastoreItem xmlns:ds="http://schemas.openxmlformats.org/officeDocument/2006/customXml" ds:itemID="{92876289-E131-462C-B594-092399D64C8A}">
  <ds:schemaRefs/>
</ds:datastoreItem>
</file>

<file path=customXml/itemProps6.xml><?xml version="1.0" encoding="utf-8"?>
<ds:datastoreItem xmlns:ds="http://schemas.openxmlformats.org/officeDocument/2006/customXml" ds:itemID="{CA3B1E9B-9CD5-4D0F-8547-BDC2C9AEA350}">
  <ds:schemaRefs/>
</ds:datastoreItem>
</file>

<file path=customXml/itemProps7.xml><?xml version="1.0" encoding="utf-8"?>
<ds:datastoreItem xmlns:ds="http://schemas.openxmlformats.org/officeDocument/2006/customXml" ds:itemID="{1991C8B0-A7EC-43F3-B54A-954ECD0ECBC0}">
  <ds:schemaRefs/>
</ds:datastoreItem>
</file>

<file path=customXml/itemProps8.xml><?xml version="1.0" encoding="utf-8"?>
<ds:datastoreItem xmlns:ds="http://schemas.openxmlformats.org/officeDocument/2006/customXml" ds:itemID="{78EF742E-2627-4167-9E79-1CED1E9801C8}">
  <ds:schemaRefs/>
</ds:datastoreItem>
</file>

<file path=customXml/itemProps9.xml><?xml version="1.0" encoding="utf-8"?>
<ds:datastoreItem xmlns:ds="http://schemas.openxmlformats.org/officeDocument/2006/customXml" ds:itemID="{E967D637-8946-437E-8529-A06518408083}">
  <ds:schemaRefs/>
</ds:datastoreItem>
</file>

<file path=customXml/itemProps10.xml><?xml version="1.0" encoding="utf-8"?>
<ds:datastoreItem xmlns:ds="http://schemas.openxmlformats.org/officeDocument/2006/customXml" ds:itemID="{203551F1-35F5-4DB5-B525-005D96C1639E}">
  <ds:schemaRefs/>
</ds:datastoreItem>
</file>

<file path=customXml/itemProps11.xml><?xml version="1.0" encoding="utf-8"?>
<ds:datastoreItem xmlns:ds="http://schemas.openxmlformats.org/officeDocument/2006/customXml" ds:itemID="{4D1754AC-F26F-4721-B899-A56FF4B5AFB5}">
  <ds:schemaRefs/>
</ds:datastoreItem>
</file>

<file path=customXml/itemProps12.xml><?xml version="1.0" encoding="utf-8"?>
<ds:datastoreItem xmlns:ds="http://schemas.openxmlformats.org/officeDocument/2006/customXml" ds:itemID="{BFB7FC49-5784-4DC4-AE36-3B1648DC5A00}">
  <ds:schemaRefs/>
</ds:datastoreItem>
</file>

<file path=customXml/itemProps13.xml><?xml version="1.0" encoding="utf-8"?>
<ds:datastoreItem xmlns:ds="http://schemas.openxmlformats.org/officeDocument/2006/customXml" ds:itemID="{F983D0FA-FE19-4E02-B7DD-A727D1385409}">
  <ds:schemaRefs/>
</ds:datastoreItem>
</file>

<file path=customXml/itemProps14.xml><?xml version="1.0" encoding="utf-8"?>
<ds:datastoreItem xmlns:ds="http://schemas.openxmlformats.org/officeDocument/2006/customXml" ds:itemID="{41A67FC5-2862-425F-AC45-B54A77704175}">
  <ds:schemaRefs/>
</ds:datastoreItem>
</file>

<file path=customXml/itemProps15.xml><?xml version="1.0" encoding="utf-8"?>
<ds:datastoreItem xmlns:ds="http://schemas.openxmlformats.org/officeDocument/2006/customXml" ds:itemID="{FA971192-3412-444C-AEFD-584F9675CECB}">
  <ds:schemaRefs/>
</ds:datastoreItem>
</file>

<file path=customXml/itemProps16.xml><?xml version="1.0" encoding="utf-8"?>
<ds:datastoreItem xmlns:ds="http://schemas.openxmlformats.org/officeDocument/2006/customXml" ds:itemID="{1D51688E-BC92-41B1-9698-7071A2C4A679}">
  <ds:schemaRefs/>
</ds:datastoreItem>
</file>

<file path=customXml/itemProps17.xml><?xml version="1.0" encoding="utf-8"?>
<ds:datastoreItem xmlns:ds="http://schemas.openxmlformats.org/officeDocument/2006/customXml" ds:itemID="{15EB8C3B-E9FC-4082-A9E2-C6A60B62A52D}">
  <ds:schemaRefs/>
</ds:datastoreItem>
</file>

<file path=customXml/itemProps18.xml><?xml version="1.0" encoding="utf-8"?>
<ds:datastoreItem xmlns:ds="http://schemas.openxmlformats.org/officeDocument/2006/customXml" ds:itemID="{48E1A685-526C-4496-892C-070CAF8AED18}">
  <ds:schemaRefs/>
</ds:datastoreItem>
</file>

<file path=customXml/itemProps19.xml><?xml version="1.0" encoding="utf-8"?>
<ds:datastoreItem xmlns:ds="http://schemas.openxmlformats.org/officeDocument/2006/customXml" ds:itemID="{4D06EBFB-79DD-4177-BE4A-8D7711F24FE6}">
  <ds:schemaRefs/>
</ds:datastoreItem>
</file>

<file path=customXml/itemProps20.xml><?xml version="1.0" encoding="utf-8"?>
<ds:datastoreItem xmlns:ds="http://schemas.openxmlformats.org/officeDocument/2006/customXml" ds:itemID="{02E74E64-AD50-4C18-8C67-3E348BB365A7}">
  <ds:schemaRefs/>
</ds:datastoreItem>
</file>

<file path=customXml/itemProps21.xml><?xml version="1.0" encoding="utf-8"?>
<ds:datastoreItem xmlns:ds="http://schemas.openxmlformats.org/officeDocument/2006/customXml" ds:itemID="{FE62920C-58BD-45B9-A8E0-426113E9F34B}">
  <ds:schemaRefs/>
</ds:datastoreItem>
</file>

<file path=customXml/itemProps22.xml><?xml version="1.0" encoding="utf-8"?>
<ds:datastoreItem xmlns:ds="http://schemas.openxmlformats.org/officeDocument/2006/customXml" ds:itemID="{2DB662A4-0901-4E37-BECE-E8BA6DCE8315}">
  <ds:schemaRefs/>
</ds:datastoreItem>
</file>

<file path=customXml/itemProps23.xml><?xml version="1.0" encoding="utf-8"?>
<ds:datastoreItem xmlns:ds="http://schemas.openxmlformats.org/officeDocument/2006/customXml" ds:itemID="{6882F776-208E-4EAF-972E-D17690C44E1E}">
  <ds:schemaRefs/>
</ds:datastoreItem>
</file>

<file path=customXml/itemProps24.xml><?xml version="1.0" encoding="utf-8"?>
<ds:datastoreItem xmlns:ds="http://schemas.openxmlformats.org/officeDocument/2006/customXml" ds:itemID="{013B88A8-2CF9-42A6-95F7-B783E4D23128}">
  <ds:schemaRefs/>
</ds:datastoreItem>
</file>

<file path=customXml/itemProps25.xml><?xml version="1.0" encoding="utf-8"?>
<ds:datastoreItem xmlns:ds="http://schemas.openxmlformats.org/officeDocument/2006/customXml" ds:itemID="{C27D4079-1F16-4198-93A5-B1ECDF97CFFD}">
  <ds:schemaRefs/>
</ds:datastoreItem>
</file>

<file path=customXml/itemProps26.xml><?xml version="1.0" encoding="utf-8"?>
<ds:datastoreItem xmlns:ds="http://schemas.openxmlformats.org/officeDocument/2006/customXml" ds:itemID="{1B8B0F45-BE6F-4CF3-85E0-245DD3EF6FAA}">
  <ds:schemaRefs/>
</ds:datastoreItem>
</file>

<file path=customXml/itemProps27.xml><?xml version="1.0" encoding="utf-8"?>
<ds:datastoreItem xmlns:ds="http://schemas.openxmlformats.org/officeDocument/2006/customXml" ds:itemID="{738CD829-9FB5-45FF-ABEC-280CE6823B07}">
  <ds:schemaRefs/>
</ds:datastoreItem>
</file>

<file path=customXml/itemProps28.xml><?xml version="1.0" encoding="utf-8"?>
<ds:datastoreItem xmlns:ds="http://schemas.openxmlformats.org/officeDocument/2006/customXml" ds:itemID="{9CCE75B2-E972-4C07-B4E2-A02677723F9E}">
  <ds:schemaRefs/>
</ds:datastoreItem>
</file>

<file path=customXml/itemProps29.xml><?xml version="1.0" encoding="utf-8"?>
<ds:datastoreItem xmlns:ds="http://schemas.openxmlformats.org/officeDocument/2006/customXml" ds:itemID="{17C55E3E-6141-4382-B3A8-BBAD3A0264B8}">
  <ds:schemaRefs/>
</ds:datastoreItem>
</file>

<file path=customXml/itemProps30.xml><?xml version="1.0" encoding="utf-8"?>
<ds:datastoreItem xmlns:ds="http://schemas.openxmlformats.org/officeDocument/2006/customXml" ds:itemID="{D6FEDED6-0B9E-4E1D-915E-B0CBDFE2CE03}">
  <ds:schemaRefs/>
</ds:datastoreItem>
</file>

<file path=customXml/itemProps31.xml><?xml version="1.0" encoding="utf-8"?>
<ds:datastoreItem xmlns:ds="http://schemas.openxmlformats.org/officeDocument/2006/customXml" ds:itemID="{CB68DC25-0BFE-4EFC-B997-D9C7F6034DC1}">
  <ds:schemaRefs/>
</ds:datastoreItem>
</file>

<file path=customXml/itemProps32.xml><?xml version="1.0" encoding="utf-8"?>
<ds:datastoreItem xmlns:ds="http://schemas.openxmlformats.org/officeDocument/2006/customXml" ds:itemID="{36ECB478-3EE2-4724-BAAF-9494F0571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Performance</vt:lpstr>
      <vt:lpstr>Sales Agents Performance</vt:lpstr>
      <vt:lpstr>Regional Performance</vt:lpstr>
      <vt:lpstr>Account Performance</vt:lpstr>
      <vt:lpstr>Overall sales 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jnv</dc:creator>
  <cp:lastModifiedBy>bb jnv</cp:lastModifiedBy>
  <dcterms:created xsi:type="dcterms:W3CDTF">2026-10-24T00:53:39Z</dcterms:created>
  <dcterms:modified xsi:type="dcterms:W3CDTF">2026-10-29T02:56:19Z</dcterms:modified>
</cp:coreProperties>
</file>